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портфолио\excel\"/>
    </mc:Choice>
  </mc:AlternateContent>
  <xr:revisionPtr revIDLastSave="0" documentId="8_{CE6FC0BF-F9CA-433D-B1BA-BD26391534C1}" xr6:coauthVersionLast="37" xr6:coauthVersionMax="37" xr10:uidLastSave="{00000000-0000-0000-0000-000000000000}"/>
  <bookViews>
    <workbookView xWindow="0" yWindow="0" windowWidth="16380" windowHeight="8190" tabRatio="500" xr2:uid="{00000000-000D-0000-FFFF-FFFF00000000}"/>
  </bookViews>
  <sheets>
    <sheet name="Справочники" sheetId="1" r:id="rId1"/>
    <sheet name="Товары" sheetId="2" r:id="rId2"/>
    <sheet name="Продажи" sheetId="3" r:id="rId3"/>
    <sheet name="Дашборд" sheetId="4" r:id="rId4"/>
    <sheet name="Топ товаров" sheetId="5" r:id="rId5"/>
  </sheet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4" l="1"/>
  <c r="D30" i="4"/>
  <c r="D29" i="4"/>
  <c r="G28" i="4"/>
  <c r="H28" i="4" s="1"/>
  <c r="D28" i="4"/>
  <c r="G27" i="4"/>
  <c r="H27" i="4" s="1"/>
  <c r="D27" i="4"/>
  <c r="G26" i="4"/>
  <c r="D26" i="4"/>
  <c r="G25" i="4"/>
  <c r="H25" i="4" s="1"/>
  <c r="D25" i="4"/>
  <c r="G24" i="4"/>
  <c r="H24" i="4" s="1"/>
  <c r="D24" i="4"/>
  <c r="C19" i="4"/>
  <c r="B19" i="4"/>
  <c r="C18" i="4"/>
  <c r="C17" i="4"/>
  <c r="B17" i="4"/>
  <c r="C16" i="4"/>
  <c r="G15" i="4"/>
  <c r="C15" i="4"/>
  <c r="G14" i="4"/>
  <c r="C14" i="4"/>
  <c r="B14" i="4"/>
  <c r="G13" i="4"/>
  <c r="C13" i="4"/>
  <c r="G12" i="4"/>
  <c r="C12" i="4"/>
  <c r="B12" i="4"/>
  <c r="G11" i="4"/>
  <c r="C11" i="4"/>
  <c r="G10" i="4"/>
  <c r="C10" i="4"/>
  <c r="I4" i="4"/>
  <c r="G4" i="4"/>
  <c r="C4" i="4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B15" i="4" s="1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F11" i="4" s="1"/>
  <c r="H11" i="4" s="1"/>
  <c r="H55" i="3"/>
  <c r="H54" i="3"/>
  <c r="H53" i="3"/>
  <c r="H52" i="3"/>
  <c r="H51" i="3"/>
  <c r="H50" i="3"/>
  <c r="H49" i="3"/>
  <c r="F12" i="4" s="1"/>
  <c r="H12" i="4" s="1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F14" i="4" s="1"/>
  <c r="H14" i="4" s="1"/>
  <c r="H22" i="3"/>
  <c r="F10" i="4" s="1"/>
  <c r="H10" i="4" s="1"/>
  <c r="H21" i="3"/>
  <c r="H20" i="3"/>
  <c r="H19" i="3"/>
  <c r="F13" i="4" s="1"/>
  <c r="H13" i="4" s="1"/>
  <c r="H18" i="3"/>
  <c r="H17" i="3"/>
  <c r="H16" i="3"/>
  <c r="H15" i="3"/>
  <c r="H14" i="3"/>
  <c r="H13" i="3"/>
  <c r="H12" i="3"/>
  <c r="H11" i="3"/>
  <c r="H10" i="3"/>
  <c r="E4" i="4" s="1"/>
  <c r="H9" i="3"/>
  <c r="H8" i="3"/>
  <c r="B16" i="4" s="1"/>
  <c r="H7" i="3"/>
  <c r="H6" i="3"/>
  <c r="H5" i="3"/>
  <c r="F15" i="4" s="1"/>
  <c r="H15" i="4" s="1"/>
  <c r="H4" i="3"/>
  <c r="H3" i="3"/>
  <c r="A4" i="4" s="1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H26" i="4" l="1"/>
  <c r="B10" i="4"/>
  <c r="B13" i="4"/>
  <c r="B11" i="4"/>
  <c r="B18" i="4"/>
</calcChain>
</file>

<file path=xl/sharedStrings.xml><?xml version="1.0" encoding="utf-8"?>
<sst xmlns="http://schemas.openxmlformats.org/spreadsheetml/2006/main" count="1308" uniqueCount="329">
  <si>
    <t>КАТЕГОРИИ ТОВАРОВ</t>
  </si>
  <si>
    <t>МЕНЕДЖЕРЫ</t>
  </si>
  <si>
    <t>СТАТУСЫ</t>
  </si>
  <si>
    <t>Код</t>
  </si>
  <si>
    <t>Название</t>
  </si>
  <si>
    <t>Комиссия</t>
  </si>
  <si>
    <t>ФИО</t>
  </si>
  <si>
    <t>Уровень</t>
  </si>
  <si>
    <t>Статус</t>
  </si>
  <si>
    <t>CAT001</t>
  </si>
  <si>
    <t>Электроника</t>
  </si>
  <si>
    <t>MGR001</t>
  </si>
  <si>
    <t>Иванов А.С.</t>
  </si>
  <si>
    <t>Старший</t>
  </si>
  <si>
    <t>Выполнен</t>
  </si>
  <si>
    <t>CAT002</t>
  </si>
  <si>
    <t>Одежда</t>
  </si>
  <si>
    <t>MGR002</t>
  </si>
  <si>
    <t>Петрова М.В.</t>
  </si>
  <si>
    <t>В обработке</t>
  </si>
  <si>
    <t>CAT003</t>
  </si>
  <si>
    <t>Бытовая техника</t>
  </si>
  <si>
    <t>MGR003</t>
  </si>
  <si>
    <t>Сидоров К.Н.</t>
  </si>
  <si>
    <t>Средний</t>
  </si>
  <si>
    <t>Доставляется</t>
  </si>
  <si>
    <t>CAT004</t>
  </si>
  <si>
    <t>Спорт и отдых</t>
  </si>
  <si>
    <t>MGR004</t>
  </si>
  <si>
    <t>Козлова Е.А.</t>
  </si>
  <si>
    <t>Отменён</t>
  </si>
  <si>
    <t>CAT005</t>
  </si>
  <si>
    <t>Красота и здоровье</t>
  </si>
  <si>
    <t>MGR005</t>
  </si>
  <si>
    <t>Николаев Д.П.</t>
  </si>
  <si>
    <t>Младший</t>
  </si>
  <si>
    <t>Возврат</t>
  </si>
  <si>
    <t>CAT006</t>
  </si>
  <si>
    <t>Дом и сад</t>
  </si>
  <si>
    <t>MGR006</t>
  </si>
  <si>
    <t>Федорова О.И.</t>
  </si>
  <si>
    <t>CAT007</t>
  </si>
  <si>
    <t>Детские товары</t>
  </si>
  <si>
    <t>CAT008</t>
  </si>
  <si>
    <t>Автотовары</t>
  </si>
  <si>
    <t>КАТАЛОГ ТОВАРОВ</t>
  </si>
  <si>
    <t>Артикул</t>
  </si>
  <si>
    <t>Категория</t>
  </si>
  <si>
    <t>Себестоимость</t>
  </si>
  <si>
    <t>Цена</t>
  </si>
  <si>
    <t>Наценка %</t>
  </si>
  <si>
    <t>Остаток</t>
  </si>
  <si>
    <t>SKU0001</t>
  </si>
  <si>
    <t>Смартфон Samsung Galaxy A54</t>
  </si>
  <si>
    <t>SKU0002</t>
  </si>
  <si>
    <t>Ноутбук ASUS VivoBook 15</t>
  </si>
  <si>
    <t>SKU0003</t>
  </si>
  <si>
    <t>Наушники Sony WH-1000XM4</t>
  </si>
  <si>
    <t>SKU0004</t>
  </si>
  <si>
    <t>Куртка мужская зимняя</t>
  </si>
  <si>
    <t>SKU0005</t>
  </si>
  <si>
    <t>Платье женское летнее</t>
  </si>
  <si>
    <t>SKU0006</t>
  </si>
  <si>
    <t>Кроссовки Nike Air Max</t>
  </si>
  <si>
    <t>SKU0007</t>
  </si>
  <si>
    <t>Холодильник LG GA-B509</t>
  </si>
  <si>
    <t>SKU0008</t>
  </si>
  <si>
    <t>Стиральная машина Bosch</t>
  </si>
  <si>
    <t>SKU0009</t>
  </si>
  <si>
    <t>Пылесос Dyson V15</t>
  </si>
  <si>
    <t>SKU0010</t>
  </si>
  <si>
    <t>Велосипед горный Trek</t>
  </si>
  <si>
    <t>SKU0011</t>
  </si>
  <si>
    <t>Гантели разборные 20кг</t>
  </si>
  <si>
    <t>SKU0012</t>
  </si>
  <si>
    <t>Палатка туристическая 4-х</t>
  </si>
  <si>
    <t>SKU0013</t>
  </si>
  <si>
    <t>Крем для лица Lancôme</t>
  </si>
  <si>
    <t>SKU0014</t>
  </si>
  <si>
    <t>Шампунь профессиональный</t>
  </si>
  <si>
    <t>SKU0015</t>
  </si>
  <si>
    <t>Массажёр для тела</t>
  </si>
  <si>
    <t>SKU0016</t>
  </si>
  <si>
    <t>Диван угловой</t>
  </si>
  <si>
    <t>SKU0017</t>
  </si>
  <si>
    <t>Комплект постельного белья</t>
  </si>
  <si>
    <t>SKU0018</t>
  </si>
  <si>
    <t>Газонокосилка электрическая</t>
  </si>
  <si>
    <t>SKU0019</t>
  </si>
  <si>
    <t>Коляска детская 3 в 1</t>
  </si>
  <si>
    <t>SKU0020</t>
  </si>
  <si>
    <t>Конструктор LEGO 1000 дет.</t>
  </si>
  <si>
    <t>SKU0021</t>
  </si>
  <si>
    <t>Автокресло детское</t>
  </si>
  <si>
    <t>SKU0022</t>
  </si>
  <si>
    <t>Видеорегистратор 4K</t>
  </si>
  <si>
    <t>SKU0023</t>
  </si>
  <si>
    <t>Автомобильные шины R17</t>
  </si>
  <si>
    <t>SKU0024</t>
  </si>
  <si>
    <t>Компрессор автомобильный</t>
  </si>
  <si>
    <t>SKU0025</t>
  </si>
  <si>
    <t>Планшет iPad Air</t>
  </si>
  <si>
    <t>SKU0026</t>
  </si>
  <si>
    <t>Телевизор LG OLED 55"</t>
  </si>
  <si>
    <t>SKU0027</t>
  </si>
  <si>
    <t>Джинсы мужские Levi's</t>
  </si>
  <si>
    <t>SKU0028</t>
  </si>
  <si>
    <t>Микроволновая печь Samsung</t>
  </si>
  <si>
    <t>SKU0029</t>
  </si>
  <si>
    <t>Беговая дорожка</t>
  </si>
  <si>
    <t>SKU0030</t>
  </si>
  <si>
    <t>Набор косметики подарочный</t>
  </si>
  <si>
    <t>ЖУРНАЛ ПРОДАЖ — ЯНВАРЬ 2025</t>
  </si>
  <si>
    <t>№ Заказа</t>
  </si>
  <si>
    <t>Дата</t>
  </si>
  <si>
    <t>Клиент</t>
  </si>
  <si>
    <t>Товар</t>
  </si>
  <si>
    <t>Кол-во</t>
  </si>
  <si>
    <t>Сумма</t>
  </si>
  <si>
    <t>Менеджер</t>
  </si>
  <si>
    <t>Регион</t>
  </si>
  <si>
    <t>ORD-2025001</t>
  </si>
  <si>
    <t>Петров К.С.</t>
  </si>
  <si>
    <t>Санкт-Петербург</t>
  </si>
  <si>
    <t>ORD-2025002</t>
  </si>
  <si>
    <t>ООО "Альфа"</t>
  </si>
  <si>
    <t>Газонокосилка электрическ...</t>
  </si>
  <si>
    <t>Москва</t>
  </si>
  <si>
    <t>ORD-2025003</t>
  </si>
  <si>
    <t>Соловьёв Р.А.</t>
  </si>
  <si>
    <t>Екатеринбург</t>
  </si>
  <si>
    <t>ORD-2025004</t>
  </si>
  <si>
    <t>Павлова Н.Д.</t>
  </si>
  <si>
    <t>Челябинск</t>
  </si>
  <si>
    <t>ORD-2025005</t>
  </si>
  <si>
    <t>ORD-2025006</t>
  </si>
  <si>
    <t>Лебедев Д.А.</t>
  </si>
  <si>
    <t>ORD-2025007</t>
  </si>
  <si>
    <t>Нижний Новгород</t>
  </si>
  <si>
    <t>ORD-2025008</t>
  </si>
  <si>
    <t>ООО "ТехноСервис"</t>
  </si>
  <si>
    <t>Ростов-на-Дону</t>
  </si>
  <si>
    <t>ORD-2025009</t>
  </si>
  <si>
    <t>Смартфон Samsung Galaxy A...</t>
  </si>
  <si>
    <t>ORD-2025010</t>
  </si>
  <si>
    <t>ORD-2025011</t>
  </si>
  <si>
    <t>ИП Королёв</t>
  </si>
  <si>
    <t>ORD-2025012</t>
  </si>
  <si>
    <t>ORD-2025013</t>
  </si>
  <si>
    <t>Попов В.С.</t>
  </si>
  <si>
    <t>Уфа</t>
  </si>
  <si>
    <t>ORD-2025014</t>
  </si>
  <si>
    <t>Новикова О.В.</t>
  </si>
  <si>
    <t>ORD-2025015</t>
  </si>
  <si>
    <t>Васильева М.П.</t>
  </si>
  <si>
    <t>ORD-2025016</t>
  </si>
  <si>
    <t>Волкова Т.Н.</t>
  </si>
  <si>
    <t>Самара</t>
  </si>
  <si>
    <t>ORD-2025017</t>
  </si>
  <si>
    <t>ORD-2025018</t>
  </si>
  <si>
    <t>Семёнов В.Ф.</t>
  </si>
  <si>
    <t>ORD-2025019</t>
  </si>
  <si>
    <t>ORD-2025020</t>
  </si>
  <si>
    <t>ORD-2025021</t>
  </si>
  <si>
    <t>ORD-2025022</t>
  </si>
  <si>
    <t>ORD-2025023</t>
  </si>
  <si>
    <t>Смирнов И.П.</t>
  </si>
  <si>
    <t>ORD-2025024</t>
  </si>
  <si>
    <t>Морозов А.Л.</t>
  </si>
  <si>
    <t>ORD-2025025</t>
  </si>
  <si>
    <t>Казань</t>
  </si>
  <si>
    <t>ORD-2025026</t>
  </si>
  <si>
    <t>ORD-2025027</t>
  </si>
  <si>
    <t>ООО "Бета Трейд"</t>
  </si>
  <si>
    <t>Новосибирск</t>
  </si>
  <si>
    <t>ORD-2025028</t>
  </si>
  <si>
    <t>ORD-2025029</t>
  </si>
  <si>
    <t>ORD-2025030</t>
  </si>
  <si>
    <t>ORD-2025031</t>
  </si>
  <si>
    <t>ORD-2025032</t>
  </si>
  <si>
    <t>ORD-2025033</t>
  </si>
  <si>
    <t>Комплект постельного бель...</t>
  </si>
  <si>
    <t>ORD-2025034</t>
  </si>
  <si>
    <t>ORD-2025035</t>
  </si>
  <si>
    <t>ORD-2025036</t>
  </si>
  <si>
    <t>Зайцев С.Г.</t>
  </si>
  <si>
    <t>ORD-2025037</t>
  </si>
  <si>
    <t>Набор косметики подарочны...</t>
  </si>
  <si>
    <t>ORD-2025038</t>
  </si>
  <si>
    <t>ORD-2025039</t>
  </si>
  <si>
    <t>ORD-2025040</t>
  </si>
  <si>
    <t>ORD-2025041</t>
  </si>
  <si>
    <t>ORD-2025042</t>
  </si>
  <si>
    <t>ORD-2025043</t>
  </si>
  <si>
    <t>ORD-2025044</t>
  </si>
  <si>
    <t>ORD-2025045</t>
  </si>
  <si>
    <t>ORD-2025046</t>
  </si>
  <si>
    <t>ORD-2025047</t>
  </si>
  <si>
    <t>ORD-2025048</t>
  </si>
  <si>
    <t>ORD-2025049</t>
  </si>
  <si>
    <t>Кузнецова А.М.</t>
  </si>
  <si>
    <t>ORD-2025050</t>
  </si>
  <si>
    <t>Конструктор LEGO 1000 дет...</t>
  </si>
  <si>
    <t>ORD-2025051</t>
  </si>
  <si>
    <t>ORD-2025052</t>
  </si>
  <si>
    <t>Микроволновая печь Samsun...</t>
  </si>
  <si>
    <t>ORD-2025053</t>
  </si>
  <si>
    <t>ORD-2025054</t>
  </si>
  <si>
    <t>ORD-2025055</t>
  </si>
  <si>
    <t>ORD-2025056</t>
  </si>
  <si>
    <t>Соколова Е.Н.</t>
  </si>
  <si>
    <t>ORD-2025057</t>
  </si>
  <si>
    <t>ORD-2025058</t>
  </si>
  <si>
    <t>ORD-2025059</t>
  </si>
  <si>
    <t>ORD-2025060</t>
  </si>
  <si>
    <t>ORD-2025061</t>
  </si>
  <si>
    <t>ORD-2025062</t>
  </si>
  <si>
    <t>ORD-2025063</t>
  </si>
  <si>
    <t>ORD-2025064</t>
  </si>
  <si>
    <t>ORD-2025065</t>
  </si>
  <si>
    <t>ORD-2025066</t>
  </si>
  <si>
    <t>ORD-2025067</t>
  </si>
  <si>
    <t>ORD-2025068</t>
  </si>
  <si>
    <t>ORD-2025069</t>
  </si>
  <si>
    <t>ORD-2025070</t>
  </si>
  <si>
    <t>ORD-2025071</t>
  </si>
  <si>
    <t>ORD-2025072</t>
  </si>
  <si>
    <t>ORD-2025073</t>
  </si>
  <si>
    <t>ORD-2025074</t>
  </si>
  <si>
    <t>ORD-2025075</t>
  </si>
  <si>
    <t>ORD-2025076</t>
  </si>
  <si>
    <t>ORD-2025077</t>
  </si>
  <si>
    <t>ORD-2025078</t>
  </si>
  <si>
    <t>ORD-2025079</t>
  </si>
  <si>
    <t>ORD-2025080</t>
  </si>
  <si>
    <t>ORD-2025081</t>
  </si>
  <si>
    <t>ORD-2025082</t>
  </si>
  <si>
    <t>ORD-2025083</t>
  </si>
  <si>
    <t>Козлов М.И.</t>
  </si>
  <si>
    <t>ORD-2025084</t>
  </si>
  <si>
    <t>ORD-2025085</t>
  </si>
  <si>
    <t>ORD-2025086</t>
  </si>
  <si>
    <t>ORD-2025087</t>
  </si>
  <si>
    <t>ORD-2025088</t>
  </si>
  <si>
    <t>ORD-2025089</t>
  </si>
  <si>
    <t>ORD-2025090</t>
  </si>
  <si>
    <t>ORD-2025091</t>
  </si>
  <si>
    <t>ORD-2025092</t>
  </si>
  <si>
    <t>ORD-2025093</t>
  </si>
  <si>
    <t>ORD-2025094</t>
  </si>
  <si>
    <t>ORD-2025095</t>
  </si>
  <si>
    <t>ORD-2025096</t>
  </si>
  <si>
    <t>ORD-2025097</t>
  </si>
  <si>
    <t>ORD-2025098</t>
  </si>
  <si>
    <t>ORD-2025099</t>
  </si>
  <si>
    <t>ORD-2025100</t>
  </si>
  <si>
    <t>ORD-2025101</t>
  </si>
  <si>
    <t>ORD-2025102</t>
  </si>
  <si>
    <t>ORD-2025103</t>
  </si>
  <si>
    <t>ORD-2025104</t>
  </si>
  <si>
    <t>ORD-2025105</t>
  </si>
  <si>
    <t>ORD-2025106</t>
  </si>
  <si>
    <t>ORD-2025107</t>
  </si>
  <si>
    <t>ORD-2025108</t>
  </si>
  <si>
    <t>ORD-2025109</t>
  </si>
  <si>
    <t>ORD-2025110</t>
  </si>
  <si>
    <t>ИП Сидорчук</t>
  </si>
  <si>
    <t>ORD-2025111</t>
  </si>
  <si>
    <t>ORD-2025112</t>
  </si>
  <si>
    <t>ORD-2025113</t>
  </si>
  <si>
    <t>ORD-2025114</t>
  </si>
  <si>
    <t>ORD-2025115</t>
  </si>
  <si>
    <t>ORD-2025116</t>
  </si>
  <si>
    <t>ORD-2025117</t>
  </si>
  <si>
    <t>ORD-2025118</t>
  </si>
  <si>
    <t>ORD-2025119</t>
  </si>
  <si>
    <t>ORD-2025120</t>
  </si>
  <si>
    <t>ORD-2025121</t>
  </si>
  <si>
    <t>ORD-2025122</t>
  </si>
  <si>
    <t>ORD-2025123</t>
  </si>
  <si>
    <t>ORD-2025124</t>
  </si>
  <si>
    <t>ORD-2025125</t>
  </si>
  <si>
    <t>ORD-2025126</t>
  </si>
  <si>
    <t>ORD-2025127</t>
  </si>
  <si>
    <t>ORD-2025128</t>
  </si>
  <si>
    <t>ORD-2025129</t>
  </si>
  <si>
    <t>ORD-2025130</t>
  </si>
  <si>
    <t>ORD-2025131</t>
  </si>
  <si>
    <t>ORD-2025132</t>
  </si>
  <si>
    <t>ORD-2025133</t>
  </si>
  <si>
    <t>ORD-2025134</t>
  </si>
  <si>
    <t>ORD-2025135</t>
  </si>
  <si>
    <t>ORD-2025136</t>
  </si>
  <si>
    <t>ORD-2025137</t>
  </si>
  <si>
    <t>ORD-2025138</t>
  </si>
  <si>
    <t>ORD-2025139</t>
  </si>
  <si>
    <t>ORD-2025140</t>
  </si>
  <si>
    <t>ORD-2025141</t>
  </si>
  <si>
    <t>ORD-2025142</t>
  </si>
  <si>
    <t>ORD-2025143</t>
  </si>
  <si>
    <t>ORD-2025144</t>
  </si>
  <si>
    <t>ORD-2025145</t>
  </si>
  <si>
    <t>ORD-2025146</t>
  </si>
  <si>
    <t>ORD-2025147</t>
  </si>
  <si>
    <t>ORD-2025148</t>
  </si>
  <si>
    <t>ORD-2025149</t>
  </si>
  <si>
    <t>ORD-2025150</t>
  </si>
  <si>
    <t>📊 АНАЛИТИЧЕСКИЙ ДАШБОРД — ЯНВАРЬ 2025</t>
  </si>
  <si>
    <t>ОБЩАЯ ВЫРУЧКА</t>
  </si>
  <si>
    <t>ЗАКАЗОВ (ВЫПОЛНЕНО)</t>
  </si>
  <si>
    <t>СРЕДНИЙ ЧЕК</t>
  </si>
  <si>
    <t>КОНВЕРСИЯ</t>
  </si>
  <si>
    <t>ВОЗВРАТЫ</t>
  </si>
  <si>
    <t>📍 ПРОДАЖИ ПО РЕГИОНАМ</t>
  </si>
  <si>
    <t>👤 ЭФФЕКТИВНОСТЬ МЕНЕДЖЕРОВ</t>
  </si>
  <si>
    <t>Выручка</t>
  </si>
  <si>
    <t>Заказов</t>
  </si>
  <si>
    <t>Ср. чек</t>
  </si>
  <si>
    <t>🏷️ ПРОДАЖИ ПО КАТЕГОРИЯМ</t>
  </si>
  <si>
    <t>📋 СТАТУСЫ ЗАКАЗОВ</t>
  </si>
  <si>
    <t>Доля %</t>
  </si>
  <si>
    <t>Доля</t>
  </si>
  <si>
    <t>🏆 ТОП-10 ТОВАРОВ ПО ПРОДАЖАМ</t>
  </si>
  <si>
    <t>Место</t>
  </si>
  <si>
    <t>Продано шт.</t>
  </si>
  <si>
    <t>Рейтинг</t>
  </si>
  <si>
    <t>⭐⭐⭐⭐⭐</t>
  </si>
  <si>
    <t>⭐⭐⭐⭐</t>
  </si>
  <si>
    <t>⭐⭐⭐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</si>
</sst>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&quot; ₽&quot;"/>
    <numFmt numFmtId="166" formatCode="dd\.mm\.yyyy"/>
  </numFmts>
  <fonts count="9" x14ac:knownFonts="1">
    <font>
      <sz val="11"/>
      <color theme="1"/>
      <name val="Calibri"/>
      <family val="2"/>
      <charset val="1"/>
    </font>
    <font>
      <b/>
      <sz val="18"/>
      <color rgb="FFFFFFFF"/>
      <name val="Cambria"/>
      <charset val="1"/>
    </font>
    <font>
      <b/>
      <sz val="11"/>
      <color rgb="FFFFFFFF"/>
      <name val="Cambria"/>
      <charset val="1"/>
    </font>
    <font>
      <b/>
      <sz val="22"/>
      <color rgb="FF2F5496"/>
      <name val="Cambria"/>
      <charset val="1"/>
    </font>
    <font>
      <sz val="10"/>
      <color rgb="FF666666"/>
      <name val="Cambria"/>
      <charset val="1"/>
    </font>
    <font>
      <b/>
      <sz val="24"/>
      <color rgb="FF2F5496"/>
      <name val="Cambria"/>
      <charset val="1"/>
    </font>
    <font>
      <b/>
      <sz val="24"/>
      <color rgb="FFC00000"/>
      <name val="Cambria"/>
      <charset val="1"/>
    </font>
    <font>
      <b/>
      <sz val="12"/>
      <color rgb="FF2F5496"/>
      <name val="Cambria"/>
      <charset val="1"/>
    </font>
    <font>
      <b/>
      <sz val="11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5B9BD5"/>
        <bgColor rgb="FF4BACC6"/>
      </patternFill>
    </fill>
    <fill>
      <patternFill patternType="solid">
        <fgColor rgb="FFF2F2F2"/>
        <bgColor rgb="FFF9F9F9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FF8080"/>
      </patternFill>
    </fill>
  </fills>
  <borders count="3">
    <border>
      <left/>
      <right/>
      <top/>
      <bottom/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0" borderId="0" xfId="0" applyFont="1" applyBorder="1"/>
    <xf numFmtId="0" fontId="6" fillId="4" borderId="0" xfId="0" applyFont="1" applyFill="1" applyBorder="1" applyAlignment="1">
      <alignment horizontal="center"/>
    </xf>
    <xf numFmtId="164" fontId="5" fillId="4" borderId="0" xfId="0" applyNumberFormat="1" applyFont="1" applyFill="1" applyBorder="1" applyAlignment="1">
      <alignment horizontal="center"/>
    </xf>
    <xf numFmtId="3" fontId="5" fillId="4" borderId="0" xfId="0" applyNumberFormat="1" applyFont="1" applyFill="1" applyBorder="1" applyAlignment="1">
      <alignment horizontal="center"/>
    </xf>
    <xf numFmtId="165" fontId="5" fillId="4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3" fillId="0" borderId="0" xfId="0" applyFont="1" applyBorder="1"/>
    <xf numFmtId="0" fontId="1" fillId="2" borderId="0" xfId="0" applyFont="1" applyFill="1" applyBorder="1"/>
    <xf numFmtId="0" fontId="2" fillId="3" borderId="1" xfId="0" applyFont="1" applyFill="1" applyBorder="1"/>
    <xf numFmtId="0" fontId="2" fillId="3" borderId="0" xfId="0" applyFont="1" applyFill="1"/>
    <xf numFmtId="0" fontId="0" fillId="0" borderId="2" xfId="0" applyFont="1" applyBorder="1"/>
    <xf numFmtId="164" fontId="0" fillId="0" borderId="2" xfId="0" applyNumberFormat="1" applyBorder="1"/>
    <xf numFmtId="0" fontId="2" fillId="3" borderId="1" xfId="0" applyFont="1" applyFill="1" applyBorder="1" applyAlignment="1">
      <alignment horizontal="center"/>
    </xf>
    <xf numFmtId="165" fontId="0" fillId="0" borderId="2" xfId="0" applyNumberFormat="1" applyBorder="1"/>
    <xf numFmtId="0" fontId="0" fillId="0" borderId="2" xfId="0" applyBorder="1"/>
    <xf numFmtId="166" fontId="0" fillId="0" borderId="2" xfId="0" applyNumberFormat="1" applyBorder="1"/>
    <xf numFmtId="0" fontId="0" fillId="4" borderId="0" xfId="0" applyFill="1"/>
    <xf numFmtId="0" fontId="2" fillId="2" borderId="1" xfId="0" applyFont="1" applyFill="1" applyBorder="1"/>
    <xf numFmtId="0" fontId="8" fillId="5" borderId="2" xfId="0" applyFont="1" applyFill="1" applyBorder="1" applyAlignment="1">
      <alignment horizontal="center"/>
    </xf>
    <xf numFmtId="3" fontId="0" fillId="0" borderId="2" xfId="0" applyNumberFormat="1" applyBorder="1"/>
    <xf numFmtId="0" fontId="8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7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5B9BD5"/>
      <rgbColor rgb="FFC0504D"/>
      <rgbColor rgb="FFF9F9F9"/>
      <rgbColor rgb="FFF2F2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99CCFF"/>
      <rgbColor rgb="FFFF99CC"/>
      <rgbColor rgb="FFCC99FF"/>
      <rgbColor rgb="FFFFC7CE"/>
      <rgbColor rgb="FF4F81BD"/>
      <rgbColor rgb="FF4BACC6"/>
      <rgbColor rgb="FF9BBB59"/>
      <rgbColor rgb="FFFFD700"/>
      <rgbColor rgb="FFFF9900"/>
      <rgbColor rgb="FFCD7F32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Распределение заказов по статусам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Дашборд!$G$23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F4F-4D97-8F40-97DDD1B9B6E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F4F-4D97-8F40-97DDD1B9B6E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F4F-4D97-8F40-97DDD1B9B6E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F4F-4D97-8F40-97DDD1B9B6EC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F4F-4D97-8F40-97DDD1B9B6E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ru-RU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F4F-4D97-8F40-97DDD1B9B6E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ru-RU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F4F-4D97-8F40-97DDD1B9B6E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ru-RU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F4F-4D97-8F40-97DDD1B9B6E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ru-RU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F4F-4D97-8F40-97DDD1B9B6EC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ru-RU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F4F-4D97-8F40-97DDD1B9B6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Дашборд!$F$24:$F$28</c:f>
              <c:strCache>
                <c:ptCount val="5"/>
                <c:pt idx="0">
                  <c:v>Выполнен</c:v>
                </c:pt>
                <c:pt idx="1">
                  <c:v>В обработке</c:v>
                </c:pt>
                <c:pt idx="2">
                  <c:v>Доставляется</c:v>
                </c:pt>
                <c:pt idx="3">
                  <c:v>Отменён</c:v>
                </c:pt>
                <c:pt idx="4">
                  <c:v>Возврат</c:v>
                </c:pt>
              </c:strCache>
            </c:strRef>
          </c:cat>
          <c:val>
            <c:numRef>
              <c:f>Дашборд!$G$24:$G$28</c:f>
              <c:numCache>
                <c:formatCode>General</c:formatCode>
                <c:ptCount val="5"/>
                <c:pt idx="0">
                  <c:v>76</c:v>
                </c:pt>
                <c:pt idx="1">
                  <c:v>12</c:v>
                </c:pt>
                <c:pt idx="2">
                  <c:v>36</c:v>
                </c:pt>
                <c:pt idx="3">
                  <c:v>11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4F-4D97-8F40-97DDD1B9B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Выручка по регионам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Дашборд!$B$9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Дашборд!$A$10:$A$19</c:f>
              <c:strCache>
                <c:ptCount val="10"/>
                <c:pt idx="0">
                  <c:v>Москва</c:v>
                </c:pt>
                <c:pt idx="1">
                  <c:v>Санкт-Петербург</c:v>
                </c:pt>
                <c:pt idx="2">
                  <c:v>Новосибирск</c:v>
                </c:pt>
                <c:pt idx="3">
                  <c:v>Екатеринбург</c:v>
                </c:pt>
                <c:pt idx="4">
                  <c:v>Казань</c:v>
                </c:pt>
                <c:pt idx="5">
                  <c:v>Нижний Новгород</c:v>
                </c:pt>
                <c:pt idx="6">
                  <c:v>Челябинск</c:v>
                </c:pt>
                <c:pt idx="7">
                  <c:v>Самара</c:v>
                </c:pt>
                <c:pt idx="8">
                  <c:v>Ростов-на-Дону</c:v>
                </c:pt>
                <c:pt idx="9">
                  <c:v>Уфа</c:v>
                </c:pt>
              </c:strCache>
            </c:strRef>
          </c:cat>
          <c:val>
            <c:numRef>
              <c:f>Дашборд!$B$10:$B$19</c:f>
              <c:numCache>
                <c:formatCode>#\ ##0" ₽"</c:formatCode>
                <c:ptCount val="10"/>
                <c:pt idx="0">
                  <c:v>491730</c:v>
                </c:pt>
                <c:pt idx="1">
                  <c:v>586730</c:v>
                </c:pt>
                <c:pt idx="2">
                  <c:v>394860</c:v>
                </c:pt>
                <c:pt idx="3">
                  <c:v>335810</c:v>
                </c:pt>
                <c:pt idx="4">
                  <c:v>1024730</c:v>
                </c:pt>
                <c:pt idx="5">
                  <c:v>173850</c:v>
                </c:pt>
                <c:pt idx="6">
                  <c:v>314810</c:v>
                </c:pt>
                <c:pt idx="7">
                  <c:v>606780</c:v>
                </c:pt>
                <c:pt idx="8">
                  <c:v>1254680</c:v>
                </c:pt>
                <c:pt idx="9">
                  <c:v>243890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6-4050-9DE4-5E59938CB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55022"/>
        <c:axId val="92551874"/>
      </c:barChart>
      <c:catAx>
        <c:axId val="363550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551874"/>
        <c:crosses val="autoZero"/>
        <c:auto val="1"/>
        <c:lblAlgn val="ctr"/>
        <c:lblOffset val="100"/>
        <c:noMultiLvlLbl val="0"/>
      </c:catAx>
      <c:valAx>
        <c:axId val="925518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&quot; ₽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63550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20</xdr:row>
      <xdr:rowOff>10800</xdr:rowOff>
    </xdr:from>
    <xdr:to>
      <xdr:col>13</xdr:col>
      <xdr:colOff>199080</xdr:colOff>
      <xdr:row>38</xdr:row>
      <xdr:rowOff>181440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10800</xdr:rowOff>
    </xdr:from>
    <xdr:to>
      <xdr:col>14</xdr:col>
      <xdr:colOff>307800</xdr:colOff>
      <xdr:row>24</xdr:row>
      <xdr:rowOff>181440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Normal="100" workbookViewId="0">
      <selection sqref="A1:C1"/>
    </sheetView>
  </sheetViews>
  <sheetFormatPr defaultColWidth="8.7109375" defaultRowHeight="15" x14ac:dyDescent="0.25"/>
  <cols>
    <col min="1" max="1" width="10" customWidth="1"/>
    <col min="2" max="2" width="22" customWidth="1"/>
    <col min="3" max="3" width="12" customWidth="1"/>
    <col min="5" max="5" width="10" customWidth="1"/>
    <col min="6" max="6" width="20" customWidth="1"/>
    <col min="7" max="7" width="12" customWidth="1"/>
    <col min="9" max="9" width="8" customWidth="1"/>
    <col min="10" max="10" width="15" customWidth="1"/>
  </cols>
  <sheetData>
    <row r="1" spans="1:10" ht="22.5" x14ac:dyDescent="0.3">
      <c r="A1" s="8" t="s">
        <v>0</v>
      </c>
      <c r="B1" s="8"/>
      <c r="C1" s="8"/>
      <c r="E1" s="8" t="s">
        <v>1</v>
      </c>
      <c r="F1" s="8"/>
      <c r="G1" s="8"/>
      <c r="I1" s="8" t="s">
        <v>2</v>
      </c>
      <c r="J1" s="8"/>
    </row>
    <row r="2" spans="1:10" x14ac:dyDescent="0.25">
      <c r="A2" s="9" t="s">
        <v>3</v>
      </c>
      <c r="B2" s="9" t="s">
        <v>4</v>
      </c>
      <c r="C2" s="9" t="s">
        <v>5</v>
      </c>
      <c r="E2" s="9" t="s">
        <v>3</v>
      </c>
      <c r="F2" s="9" t="s">
        <v>6</v>
      </c>
      <c r="G2" s="9" t="s">
        <v>7</v>
      </c>
      <c r="I2" s="10" t="s">
        <v>3</v>
      </c>
      <c r="J2" s="10" t="s">
        <v>8</v>
      </c>
    </row>
    <row r="3" spans="1:10" x14ac:dyDescent="0.25">
      <c r="A3" s="11" t="s">
        <v>9</v>
      </c>
      <c r="B3" s="11" t="s">
        <v>10</v>
      </c>
      <c r="C3" s="12">
        <v>0.15</v>
      </c>
      <c r="E3" s="11" t="s">
        <v>11</v>
      </c>
      <c r="F3" s="11" t="s">
        <v>12</v>
      </c>
      <c r="G3" s="11" t="s">
        <v>13</v>
      </c>
      <c r="I3" s="11">
        <v>1</v>
      </c>
      <c r="J3" s="11" t="s">
        <v>14</v>
      </c>
    </row>
    <row r="4" spans="1:10" x14ac:dyDescent="0.25">
      <c r="A4" s="11" t="s">
        <v>15</v>
      </c>
      <c r="B4" s="11" t="s">
        <v>16</v>
      </c>
      <c r="C4" s="12">
        <v>0.12</v>
      </c>
      <c r="E4" s="11" t="s">
        <v>17</v>
      </c>
      <c r="F4" s="11" t="s">
        <v>18</v>
      </c>
      <c r="G4" s="11" t="s">
        <v>13</v>
      </c>
      <c r="I4" s="11">
        <v>2</v>
      </c>
      <c r="J4" s="11" t="s">
        <v>19</v>
      </c>
    </row>
    <row r="5" spans="1:10" x14ac:dyDescent="0.25">
      <c r="A5" s="11" t="s">
        <v>20</v>
      </c>
      <c r="B5" s="11" t="s">
        <v>21</v>
      </c>
      <c r="C5" s="12">
        <v>0.18</v>
      </c>
      <c r="E5" s="11" t="s">
        <v>22</v>
      </c>
      <c r="F5" s="11" t="s">
        <v>23</v>
      </c>
      <c r="G5" s="11" t="s">
        <v>24</v>
      </c>
      <c r="I5" s="11">
        <v>3</v>
      </c>
      <c r="J5" s="11" t="s">
        <v>25</v>
      </c>
    </row>
    <row r="6" spans="1:10" x14ac:dyDescent="0.25">
      <c r="A6" s="11" t="s">
        <v>26</v>
      </c>
      <c r="B6" s="11" t="s">
        <v>27</v>
      </c>
      <c r="C6" s="12">
        <v>0.1</v>
      </c>
      <c r="E6" s="11" t="s">
        <v>28</v>
      </c>
      <c r="F6" s="11" t="s">
        <v>29</v>
      </c>
      <c r="G6" s="11" t="s">
        <v>24</v>
      </c>
      <c r="I6" s="11">
        <v>4</v>
      </c>
      <c r="J6" s="11" t="s">
        <v>30</v>
      </c>
    </row>
    <row r="7" spans="1:10" x14ac:dyDescent="0.25">
      <c r="A7" s="11" t="s">
        <v>31</v>
      </c>
      <c r="B7" s="11" t="s">
        <v>32</v>
      </c>
      <c r="C7" s="12">
        <v>0.08</v>
      </c>
      <c r="E7" s="11" t="s">
        <v>33</v>
      </c>
      <c r="F7" s="11" t="s">
        <v>34</v>
      </c>
      <c r="G7" s="11" t="s">
        <v>35</v>
      </c>
      <c r="I7" s="11">
        <v>5</v>
      </c>
      <c r="J7" s="11" t="s">
        <v>36</v>
      </c>
    </row>
    <row r="8" spans="1:10" x14ac:dyDescent="0.25">
      <c r="A8" s="11" t="s">
        <v>37</v>
      </c>
      <c r="B8" s="11" t="s">
        <v>38</v>
      </c>
      <c r="C8" s="12">
        <v>0.14000000000000001</v>
      </c>
      <c r="E8" s="11" t="s">
        <v>39</v>
      </c>
      <c r="F8" s="11" t="s">
        <v>40</v>
      </c>
      <c r="G8" s="11" t="s">
        <v>35</v>
      </c>
    </row>
    <row r="9" spans="1:10" x14ac:dyDescent="0.25">
      <c r="A9" s="11" t="s">
        <v>41</v>
      </c>
      <c r="B9" s="11" t="s">
        <v>42</v>
      </c>
      <c r="C9" s="12">
        <v>0.09</v>
      </c>
    </row>
    <row r="10" spans="1:10" x14ac:dyDescent="0.25">
      <c r="A10" s="11" t="s">
        <v>43</v>
      </c>
      <c r="B10" s="11" t="s">
        <v>44</v>
      </c>
      <c r="C10" s="12">
        <v>0.16</v>
      </c>
    </row>
  </sheetData>
  <mergeCells count="3">
    <mergeCell ref="A1:C1"/>
    <mergeCell ref="E1:G1"/>
    <mergeCell ref="I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3" width="10" customWidth="1"/>
    <col min="4" max="4" width="15" customWidth="1"/>
    <col min="5" max="6" width="12" customWidth="1"/>
    <col min="7" max="7" width="10" customWidth="1"/>
  </cols>
  <sheetData>
    <row r="1" spans="1:7" ht="22.5" x14ac:dyDescent="0.3">
      <c r="A1" s="8" t="s">
        <v>45</v>
      </c>
      <c r="B1" s="8"/>
      <c r="C1" s="8"/>
      <c r="D1" s="8"/>
      <c r="E1" s="8"/>
      <c r="F1" s="8"/>
      <c r="G1" s="8"/>
    </row>
    <row r="2" spans="1:7" x14ac:dyDescent="0.25">
      <c r="A2" s="13" t="s">
        <v>46</v>
      </c>
      <c r="B2" s="13" t="s">
        <v>4</v>
      </c>
      <c r="C2" s="13" t="s">
        <v>47</v>
      </c>
      <c r="D2" s="13" t="s">
        <v>48</v>
      </c>
      <c r="E2" s="13" t="s">
        <v>49</v>
      </c>
      <c r="F2" s="13" t="s">
        <v>50</v>
      </c>
      <c r="G2" s="13" t="s">
        <v>51</v>
      </c>
    </row>
    <row r="3" spans="1:7" x14ac:dyDescent="0.25">
      <c r="A3" s="11" t="s">
        <v>52</v>
      </c>
      <c r="B3" s="11" t="s">
        <v>53</v>
      </c>
      <c r="C3" s="11" t="s">
        <v>9</v>
      </c>
      <c r="D3" s="14">
        <v>25000</v>
      </c>
      <c r="E3" s="14">
        <v>34990</v>
      </c>
      <c r="F3" s="12">
        <f t="shared" ref="F3:F32" si="0">(E3-D3)/D3</f>
        <v>0.39960000000000001</v>
      </c>
      <c r="G3" s="15">
        <v>168</v>
      </c>
    </row>
    <row r="4" spans="1:7" x14ac:dyDescent="0.25">
      <c r="A4" s="11" t="s">
        <v>54</v>
      </c>
      <c r="B4" s="11" t="s">
        <v>55</v>
      </c>
      <c r="C4" s="11" t="s">
        <v>9</v>
      </c>
      <c r="D4" s="14">
        <v>42000</v>
      </c>
      <c r="E4" s="14">
        <v>54990</v>
      </c>
      <c r="F4" s="12">
        <f t="shared" si="0"/>
        <v>0.30928571428571427</v>
      </c>
      <c r="G4" s="15">
        <v>33</v>
      </c>
    </row>
    <row r="5" spans="1:7" x14ac:dyDescent="0.25">
      <c r="A5" s="11" t="s">
        <v>56</v>
      </c>
      <c r="B5" s="11" t="s">
        <v>57</v>
      </c>
      <c r="C5" s="11" t="s">
        <v>9</v>
      </c>
      <c r="D5" s="14">
        <v>18000</v>
      </c>
      <c r="E5" s="14">
        <v>24990</v>
      </c>
      <c r="F5" s="12">
        <f t="shared" si="0"/>
        <v>0.38833333333333331</v>
      </c>
      <c r="G5" s="15">
        <v>11</v>
      </c>
    </row>
    <row r="6" spans="1:7" x14ac:dyDescent="0.25">
      <c r="A6" s="11" t="s">
        <v>58</v>
      </c>
      <c r="B6" s="11" t="s">
        <v>59</v>
      </c>
      <c r="C6" s="11" t="s">
        <v>15</v>
      </c>
      <c r="D6" s="14">
        <v>4500</v>
      </c>
      <c r="E6" s="14">
        <v>7990</v>
      </c>
      <c r="F6" s="12">
        <f t="shared" si="0"/>
        <v>0.77555555555555555</v>
      </c>
      <c r="G6" s="15">
        <v>194</v>
      </c>
    </row>
    <row r="7" spans="1:7" x14ac:dyDescent="0.25">
      <c r="A7" s="11" t="s">
        <v>60</v>
      </c>
      <c r="B7" s="11" t="s">
        <v>61</v>
      </c>
      <c r="C7" s="11" t="s">
        <v>15</v>
      </c>
      <c r="D7" s="14">
        <v>1800</v>
      </c>
      <c r="E7" s="14">
        <v>3490</v>
      </c>
      <c r="F7" s="12">
        <f t="shared" si="0"/>
        <v>0.93888888888888888</v>
      </c>
      <c r="G7" s="15">
        <v>75</v>
      </c>
    </row>
    <row r="8" spans="1:7" x14ac:dyDescent="0.25">
      <c r="A8" s="11" t="s">
        <v>62</v>
      </c>
      <c r="B8" s="11" t="s">
        <v>63</v>
      </c>
      <c r="C8" s="11" t="s">
        <v>15</v>
      </c>
      <c r="D8" s="14">
        <v>6000</v>
      </c>
      <c r="E8" s="14">
        <v>9990</v>
      </c>
      <c r="F8" s="12">
        <f t="shared" si="0"/>
        <v>0.66500000000000004</v>
      </c>
      <c r="G8" s="15">
        <v>67</v>
      </c>
    </row>
    <row r="9" spans="1:7" x14ac:dyDescent="0.25">
      <c r="A9" s="11" t="s">
        <v>64</v>
      </c>
      <c r="B9" s="11" t="s">
        <v>65</v>
      </c>
      <c r="C9" s="11" t="s">
        <v>20</v>
      </c>
      <c r="D9" s="14">
        <v>38000</v>
      </c>
      <c r="E9" s="14">
        <v>52990</v>
      </c>
      <c r="F9" s="12">
        <f t="shared" si="0"/>
        <v>0.39447368421052631</v>
      </c>
      <c r="G9" s="15">
        <v>62</v>
      </c>
    </row>
    <row r="10" spans="1:7" x14ac:dyDescent="0.25">
      <c r="A10" s="11" t="s">
        <v>66</v>
      </c>
      <c r="B10" s="11" t="s">
        <v>67</v>
      </c>
      <c r="C10" s="11" t="s">
        <v>20</v>
      </c>
      <c r="D10" s="14">
        <v>32000</v>
      </c>
      <c r="E10" s="14">
        <v>44990</v>
      </c>
      <c r="F10" s="12">
        <f t="shared" si="0"/>
        <v>0.40593750000000001</v>
      </c>
      <c r="G10" s="15">
        <v>40</v>
      </c>
    </row>
    <row r="11" spans="1:7" x14ac:dyDescent="0.25">
      <c r="A11" s="11" t="s">
        <v>68</v>
      </c>
      <c r="B11" s="11" t="s">
        <v>69</v>
      </c>
      <c r="C11" s="11" t="s">
        <v>20</v>
      </c>
      <c r="D11" s="14">
        <v>35000</v>
      </c>
      <c r="E11" s="14">
        <v>49990</v>
      </c>
      <c r="F11" s="12">
        <f t="shared" si="0"/>
        <v>0.42828571428571427</v>
      </c>
      <c r="G11" s="15">
        <v>193</v>
      </c>
    </row>
    <row r="12" spans="1:7" x14ac:dyDescent="0.25">
      <c r="A12" s="11" t="s">
        <v>70</v>
      </c>
      <c r="B12" s="11" t="s">
        <v>71</v>
      </c>
      <c r="C12" s="11" t="s">
        <v>26</v>
      </c>
      <c r="D12" s="14">
        <v>28000</v>
      </c>
      <c r="E12" s="14">
        <v>39990</v>
      </c>
      <c r="F12" s="12">
        <f t="shared" si="0"/>
        <v>0.42821428571428571</v>
      </c>
      <c r="G12" s="15">
        <v>31</v>
      </c>
    </row>
    <row r="13" spans="1:7" x14ac:dyDescent="0.25">
      <c r="A13" s="11" t="s">
        <v>72</v>
      </c>
      <c r="B13" s="11" t="s">
        <v>73</v>
      </c>
      <c r="C13" s="11" t="s">
        <v>26</v>
      </c>
      <c r="D13" s="14">
        <v>3500</v>
      </c>
      <c r="E13" s="14">
        <v>5990</v>
      </c>
      <c r="F13" s="12">
        <f t="shared" si="0"/>
        <v>0.71142857142857141</v>
      </c>
      <c r="G13" s="15">
        <v>178</v>
      </c>
    </row>
    <row r="14" spans="1:7" x14ac:dyDescent="0.25">
      <c r="A14" s="11" t="s">
        <v>74</v>
      </c>
      <c r="B14" s="11" t="s">
        <v>75</v>
      </c>
      <c r="C14" s="11" t="s">
        <v>26</v>
      </c>
      <c r="D14" s="14">
        <v>8000</v>
      </c>
      <c r="E14" s="14">
        <v>12990</v>
      </c>
      <c r="F14" s="12">
        <f t="shared" si="0"/>
        <v>0.62375000000000003</v>
      </c>
      <c r="G14" s="15">
        <v>194</v>
      </c>
    </row>
    <row r="15" spans="1:7" x14ac:dyDescent="0.25">
      <c r="A15" s="11" t="s">
        <v>76</v>
      </c>
      <c r="B15" s="11" t="s">
        <v>77</v>
      </c>
      <c r="C15" s="11" t="s">
        <v>31</v>
      </c>
      <c r="D15" s="14">
        <v>3200</v>
      </c>
      <c r="E15" s="14">
        <v>5490</v>
      </c>
      <c r="F15" s="12">
        <f t="shared" si="0"/>
        <v>0.71562499999999996</v>
      </c>
      <c r="G15" s="15">
        <v>144</v>
      </c>
    </row>
    <row r="16" spans="1:7" x14ac:dyDescent="0.25">
      <c r="A16" s="11" t="s">
        <v>78</v>
      </c>
      <c r="B16" s="11" t="s">
        <v>79</v>
      </c>
      <c r="C16" s="11" t="s">
        <v>31</v>
      </c>
      <c r="D16" s="14">
        <v>800</v>
      </c>
      <c r="E16" s="14">
        <v>1490</v>
      </c>
      <c r="F16" s="12">
        <f t="shared" si="0"/>
        <v>0.86250000000000004</v>
      </c>
      <c r="G16" s="15">
        <v>27</v>
      </c>
    </row>
    <row r="17" spans="1:7" x14ac:dyDescent="0.25">
      <c r="A17" s="11" t="s">
        <v>80</v>
      </c>
      <c r="B17" s="11" t="s">
        <v>81</v>
      </c>
      <c r="C17" s="11" t="s">
        <v>31</v>
      </c>
      <c r="D17" s="14">
        <v>4500</v>
      </c>
      <c r="E17" s="14">
        <v>7990</v>
      </c>
      <c r="F17" s="12">
        <f t="shared" si="0"/>
        <v>0.77555555555555555</v>
      </c>
      <c r="G17" s="15">
        <v>156</v>
      </c>
    </row>
    <row r="18" spans="1:7" x14ac:dyDescent="0.25">
      <c r="A18" s="11" t="s">
        <v>82</v>
      </c>
      <c r="B18" s="11" t="s">
        <v>83</v>
      </c>
      <c r="C18" s="11" t="s">
        <v>37</v>
      </c>
      <c r="D18" s="14">
        <v>35000</v>
      </c>
      <c r="E18" s="14">
        <v>54990</v>
      </c>
      <c r="F18" s="12">
        <f t="shared" si="0"/>
        <v>0.57114285714285717</v>
      </c>
      <c r="G18" s="15">
        <v>113</v>
      </c>
    </row>
    <row r="19" spans="1:7" x14ac:dyDescent="0.25">
      <c r="A19" s="11" t="s">
        <v>84</v>
      </c>
      <c r="B19" s="11" t="s">
        <v>85</v>
      </c>
      <c r="C19" s="11" t="s">
        <v>37</v>
      </c>
      <c r="D19" s="14">
        <v>2500</v>
      </c>
      <c r="E19" s="14">
        <v>4490</v>
      </c>
      <c r="F19" s="12">
        <f t="shared" si="0"/>
        <v>0.79600000000000004</v>
      </c>
      <c r="G19" s="15">
        <v>13</v>
      </c>
    </row>
    <row r="20" spans="1:7" x14ac:dyDescent="0.25">
      <c r="A20" s="11" t="s">
        <v>86</v>
      </c>
      <c r="B20" s="11" t="s">
        <v>87</v>
      </c>
      <c r="C20" s="11" t="s">
        <v>37</v>
      </c>
      <c r="D20" s="14">
        <v>12000</v>
      </c>
      <c r="E20" s="14">
        <v>18990</v>
      </c>
      <c r="F20" s="12">
        <f t="shared" si="0"/>
        <v>0.58250000000000002</v>
      </c>
      <c r="G20" s="15">
        <v>12</v>
      </c>
    </row>
    <row r="21" spans="1:7" x14ac:dyDescent="0.25">
      <c r="A21" s="11" t="s">
        <v>88</v>
      </c>
      <c r="B21" s="11" t="s">
        <v>89</v>
      </c>
      <c r="C21" s="11" t="s">
        <v>41</v>
      </c>
      <c r="D21" s="14">
        <v>18000</v>
      </c>
      <c r="E21" s="14">
        <v>29990</v>
      </c>
      <c r="F21" s="12">
        <f t="shared" si="0"/>
        <v>0.6661111111111111</v>
      </c>
      <c r="G21" s="15">
        <v>28</v>
      </c>
    </row>
    <row r="22" spans="1:7" x14ac:dyDescent="0.25">
      <c r="A22" s="11" t="s">
        <v>90</v>
      </c>
      <c r="B22" s="11" t="s">
        <v>91</v>
      </c>
      <c r="C22" s="11" t="s">
        <v>41</v>
      </c>
      <c r="D22" s="14">
        <v>4000</v>
      </c>
      <c r="E22" s="14">
        <v>6990</v>
      </c>
      <c r="F22" s="12">
        <f t="shared" si="0"/>
        <v>0.74750000000000005</v>
      </c>
      <c r="G22" s="15">
        <v>60</v>
      </c>
    </row>
    <row r="23" spans="1:7" x14ac:dyDescent="0.25">
      <c r="A23" s="11" t="s">
        <v>92</v>
      </c>
      <c r="B23" s="11" t="s">
        <v>93</v>
      </c>
      <c r="C23" s="11" t="s">
        <v>41</v>
      </c>
      <c r="D23" s="14">
        <v>8000</v>
      </c>
      <c r="E23" s="14">
        <v>13990</v>
      </c>
      <c r="F23" s="12">
        <f t="shared" si="0"/>
        <v>0.74875000000000003</v>
      </c>
      <c r="G23" s="15">
        <v>64</v>
      </c>
    </row>
    <row r="24" spans="1:7" x14ac:dyDescent="0.25">
      <c r="A24" s="11" t="s">
        <v>94</v>
      </c>
      <c r="B24" s="11" t="s">
        <v>95</v>
      </c>
      <c r="C24" s="11" t="s">
        <v>43</v>
      </c>
      <c r="D24" s="14">
        <v>6000</v>
      </c>
      <c r="E24" s="14">
        <v>9990</v>
      </c>
      <c r="F24" s="12">
        <f t="shared" si="0"/>
        <v>0.66500000000000004</v>
      </c>
      <c r="G24" s="15">
        <v>134</v>
      </c>
    </row>
    <row r="25" spans="1:7" x14ac:dyDescent="0.25">
      <c r="A25" s="11" t="s">
        <v>96</v>
      </c>
      <c r="B25" s="11" t="s">
        <v>97</v>
      </c>
      <c r="C25" s="11" t="s">
        <v>43</v>
      </c>
      <c r="D25" s="14">
        <v>16000</v>
      </c>
      <c r="E25" s="14">
        <v>24990</v>
      </c>
      <c r="F25" s="12">
        <f t="shared" si="0"/>
        <v>0.56187500000000001</v>
      </c>
      <c r="G25" s="15">
        <v>159</v>
      </c>
    </row>
    <row r="26" spans="1:7" x14ac:dyDescent="0.25">
      <c r="A26" s="11" t="s">
        <v>98</v>
      </c>
      <c r="B26" s="11" t="s">
        <v>99</v>
      </c>
      <c r="C26" s="11" t="s">
        <v>43</v>
      </c>
      <c r="D26" s="14">
        <v>3000</v>
      </c>
      <c r="E26" s="14">
        <v>4990</v>
      </c>
      <c r="F26" s="12">
        <f t="shared" si="0"/>
        <v>0.66333333333333333</v>
      </c>
      <c r="G26" s="15">
        <v>11</v>
      </c>
    </row>
    <row r="27" spans="1:7" x14ac:dyDescent="0.25">
      <c r="A27" s="11" t="s">
        <v>100</v>
      </c>
      <c r="B27" s="11" t="s">
        <v>101</v>
      </c>
      <c r="C27" s="11" t="s">
        <v>9</v>
      </c>
      <c r="D27" s="14">
        <v>48000</v>
      </c>
      <c r="E27" s="14">
        <v>64990</v>
      </c>
      <c r="F27" s="12">
        <f t="shared" si="0"/>
        <v>0.35395833333333332</v>
      </c>
      <c r="G27" s="15">
        <v>148</v>
      </c>
    </row>
    <row r="28" spans="1:7" x14ac:dyDescent="0.25">
      <c r="A28" s="11" t="s">
        <v>102</v>
      </c>
      <c r="B28" s="11" t="s">
        <v>103</v>
      </c>
      <c r="C28" s="11" t="s">
        <v>9</v>
      </c>
      <c r="D28" s="14">
        <v>75000</v>
      </c>
      <c r="E28" s="14">
        <v>99990</v>
      </c>
      <c r="F28" s="12">
        <f t="shared" si="0"/>
        <v>0.3332</v>
      </c>
      <c r="G28" s="15">
        <v>55</v>
      </c>
    </row>
    <row r="29" spans="1:7" x14ac:dyDescent="0.25">
      <c r="A29" s="11" t="s">
        <v>104</v>
      </c>
      <c r="B29" s="11" t="s">
        <v>105</v>
      </c>
      <c r="C29" s="11" t="s">
        <v>15</v>
      </c>
      <c r="D29" s="14">
        <v>4000</v>
      </c>
      <c r="E29" s="14">
        <v>6990</v>
      </c>
      <c r="F29" s="12">
        <f t="shared" si="0"/>
        <v>0.74750000000000005</v>
      </c>
      <c r="G29" s="15">
        <v>188</v>
      </c>
    </row>
    <row r="30" spans="1:7" x14ac:dyDescent="0.25">
      <c r="A30" s="11" t="s">
        <v>106</v>
      </c>
      <c r="B30" s="11" t="s">
        <v>107</v>
      </c>
      <c r="C30" s="11" t="s">
        <v>20</v>
      </c>
      <c r="D30" s="14">
        <v>8000</v>
      </c>
      <c r="E30" s="14">
        <v>12990</v>
      </c>
      <c r="F30" s="12">
        <f t="shared" si="0"/>
        <v>0.62375000000000003</v>
      </c>
      <c r="G30" s="15">
        <v>171</v>
      </c>
    </row>
    <row r="31" spans="1:7" x14ac:dyDescent="0.25">
      <c r="A31" s="11" t="s">
        <v>108</v>
      </c>
      <c r="B31" s="11" t="s">
        <v>109</v>
      </c>
      <c r="C31" s="11" t="s">
        <v>26</v>
      </c>
      <c r="D31" s="14">
        <v>45000</v>
      </c>
      <c r="E31" s="14">
        <v>64990</v>
      </c>
      <c r="F31" s="12">
        <f t="shared" si="0"/>
        <v>0.44422222222222224</v>
      </c>
      <c r="G31" s="15">
        <v>184</v>
      </c>
    </row>
    <row r="32" spans="1:7" x14ac:dyDescent="0.25">
      <c r="A32" s="11" t="s">
        <v>110</v>
      </c>
      <c r="B32" s="11" t="s">
        <v>111</v>
      </c>
      <c r="C32" s="11" t="s">
        <v>31</v>
      </c>
      <c r="D32" s="14">
        <v>5000</v>
      </c>
      <c r="E32" s="14">
        <v>8990</v>
      </c>
      <c r="F32" s="12">
        <f t="shared" si="0"/>
        <v>0.79800000000000004</v>
      </c>
      <c r="G32" s="15">
        <v>144</v>
      </c>
    </row>
  </sheetData>
  <mergeCells count="1">
    <mergeCell ref="A1:G1"/>
  </mergeCells>
  <conditionalFormatting sqref="G3:G32">
    <cfRule type="cellIs" dxfId="6" priority="2" operator="lessThan">
      <formula>20</formula>
    </cfRule>
    <cfRule type="cellIs" dxfId="5" priority="3" operator="between">
      <formula>20</formula>
      <formula>50</formula>
    </cfRule>
    <cfRule type="cellIs" dxfId="4" priority="4" operator="greaterThan">
      <formula>50</formula>
    </cfRule>
  </conditionalFormatting>
  <conditionalFormatting sqref="F3:F32">
    <cfRule type="dataBar" priority="5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{55CB3E75-19B9-4779-B4F9-DCB236194972}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CB3E75-19B9-4779-B4F9-DCB236194972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F3:F32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2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14" customWidth="1"/>
    <col min="3" max="3" width="22" customWidth="1"/>
    <col min="4" max="4" width="12" customWidth="1"/>
    <col min="5" max="5" width="32" customWidth="1"/>
    <col min="6" max="6" width="10" customWidth="1"/>
    <col min="7" max="7" width="14" customWidth="1"/>
    <col min="8" max="8" width="16" customWidth="1"/>
    <col min="9" max="9" width="12" customWidth="1"/>
    <col min="10" max="10" width="20" customWidth="1"/>
    <col min="11" max="11" width="16" customWidth="1"/>
  </cols>
  <sheetData>
    <row r="1" spans="1:11" ht="22.5" x14ac:dyDescent="0.3">
      <c r="A1" s="8" t="s">
        <v>112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13" t="s">
        <v>113</v>
      </c>
      <c r="B2" s="13" t="s">
        <v>114</v>
      </c>
      <c r="C2" s="13" t="s">
        <v>115</v>
      </c>
      <c r="D2" s="13" t="s">
        <v>46</v>
      </c>
      <c r="E2" s="13" t="s">
        <v>116</v>
      </c>
      <c r="F2" s="13" t="s">
        <v>117</v>
      </c>
      <c r="G2" s="13" t="s">
        <v>49</v>
      </c>
      <c r="H2" s="13" t="s">
        <v>118</v>
      </c>
      <c r="I2" s="13" t="s">
        <v>119</v>
      </c>
      <c r="J2" s="13" t="s">
        <v>120</v>
      </c>
      <c r="K2" s="13" t="s">
        <v>8</v>
      </c>
    </row>
    <row r="3" spans="1:11" x14ac:dyDescent="0.25">
      <c r="A3" s="11" t="s">
        <v>121</v>
      </c>
      <c r="B3" s="16">
        <v>45659</v>
      </c>
      <c r="C3" s="11" t="s">
        <v>122</v>
      </c>
      <c r="D3" s="11" t="s">
        <v>56</v>
      </c>
      <c r="E3" s="11" t="s">
        <v>57</v>
      </c>
      <c r="F3" s="11">
        <v>4</v>
      </c>
      <c r="G3" s="14">
        <v>24990</v>
      </c>
      <c r="H3" s="14">
        <f t="shared" ref="H3:H34" si="0">F3*G3</f>
        <v>99960</v>
      </c>
      <c r="I3" s="11" t="s">
        <v>22</v>
      </c>
      <c r="J3" s="11" t="s">
        <v>123</v>
      </c>
      <c r="K3" s="15" t="s">
        <v>14</v>
      </c>
    </row>
    <row r="4" spans="1:11" x14ac:dyDescent="0.25">
      <c r="A4" s="11" t="s">
        <v>124</v>
      </c>
      <c r="B4" s="16">
        <v>45670</v>
      </c>
      <c r="C4" s="11" t="s">
        <v>125</v>
      </c>
      <c r="D4" s="11" t="s">
        <v>86</v>
      </c>
      <c r="E4" s="11" t="s">
        <v>126</v>
      </c>
      <c r="F4" s="11">
        <v>3</v>
      </c>
      <c r="G4" s="14">
        <v>18990</v>
      </c>
      <c r="H4" s="14">
        <f t="shared" si="0"/>
        <v>56970</v>
      </c>
      <c r="I4" s="11" t="s">
        <v>22</v>
      </c>
      <c r="J4" s="11" t="s">
        <v>127</v>
      </c>
      <c r="K4" s="15" t="s">
        <v>14</v>
      </c>
    </row>
    <row r="5" spans="1:11" x14ac:dyDescent="0.25">
      <c r="A5" s="11" t="s">
        <v>128</v>
      </c>
      <c r="B5" s="16">
        <v>45662</v>
      </c>
      <c r="C5" s="11" t="s">
        <v>129</v>
      </c>
      <c r="D5" s="11" t="s">
        <v>86</v>
      </c>
      <c r="E5" s="11" t="s">
        <v>126</v>
      </c>
      <c r="F5" s="11">
        <v>3</v>
      </c>
      <c r="G5" s="14">
        <v>18990</v>
      </c>
      <c r="H5" s="14">
        <f t="shared" si="0"/>
        <v>56970</v>
      </c>
      <c r="I5" s="11" t="s">
        <v>39</v>
      </c>
      <c r="J5" s="11" t="s">
        <v>130</v>
      </c>
      <c r="K5" s="15" t="s">
        <v>14</v>
      </c>
    </row>
    <row r="6" spans="1:11" x14ac:dyDescent="0.25">
      <c r="A6" s="11" t="s">
        <v>131</v>
      </c>
      <c r="B6" s="16">
        <v>45658</v>
      </c>
      <c r="C6" s="11" t="s">
        <v>132</v>
      </c>
      <c r="D6" s="11" t="s">
        <v>100</v>
      </c>
      <c r="E6" s="11" t="s">
        <v>101</v>
      </c>
      <c r="F6" s="11">
        <v>1</v>
      </c>
      <c r="G6" s="14">
        <v>64990</v>
      </c>
      <c r="H6" s="14">
        <f t="shared" si="0"/>
        <v>64990</v>
      </c>
      <c r="I6" s="11" t="s">
        <v>33</v>
      </c>
      <c r="J6" s="11" t="s">
        <v>133</v>
      </c>
      <c r="K6" s="15" t="s">
        <v>14</v>
      </c>
    </row>
    <row r="7" spans="1:11" x14ac:dyDescent="0.25">
      <c r="A7" s="11" t="s">
        <v>134</v>
      </c>
      <c r="B7" s="16">
        <v>45658</v>
      </c>
      <c r="C7" s="11" t="s">
        <v>129</v>
      </c>
      <c r="D7" s="11" t="s">
        <v>98</v>
      </c>
      <c r="E7" s="11" t="s">
        <v>99</v>
      </c>
      <c r="F7" s="11">
        <v>4</v>
      </c>
      <c r="G7" s="14">
        <v>4990</v>
      </c>
      <c r="H7" s="14">
        <f t="shared" si="0"/>
        <v>19960</v>
      </c>
      <c r="I7" s="11" t="s">
        <v>11</v>
      </c>
      <c r="J7" s="11" t="s">
        <v>127</v>
      </c>
      <c r="K7" s="15" t="s">
        <v>14</v>
      </c>
    </row>
    <row r="8" spans="1:11" x14ac:dyDescent="0.25">
      <c r="A8" s="11" t="s">
        <v>135</v>
      </c>
      <c r="B8" s="16">
        <v>45679</v>
      </c>
      <c r="C8" s="11" t="s">
        <v>136</v>
      </c>
      <c r="D8" s="11" t="s">
        <v>60</v>
      </c>
      <c r="E8" s="11" t="s">
        <v>61</v>
      </c>
      <c r="F8" s="11">
        <v>1</v>
      </c>
      <c r="G8" s="14">
        <v>3490</v>
      </c>
      <c r="H8" s="14">
        <f t="shared" si="0"/>
        <v>3490</v>
      </c>
      <c r="I8" s="11" t="s">
        <v>22</v>
      </c>
      <c r="J8" s="11" t="s">
        <v>133</v>
      </c>
      <c r="K8" s="15" t="s">
        <v>14</v>
      </c>
    </row>
    <row r="9" spans="1:11" x14ac:dyDescent="0.25">
      <c r="A9" s="11" t="s">
        <v>137</v>
      </c>
      <c r="B9" s="16">
        <v>45673</v>
      </c>
      <c r="C9" s="11" t="s">
        <v>122</v>
      </c>
      <c r="D9" s="11" t="s">
        <v>82</v>
      </c>
      <c r="E9" s="11" t="s">
        <v>83</v>
      </c>
      <c r="F9" s="11">
        <v>1</v>
      </c>
      <c r="G9" s="14">
        <v>54990</v>
      </c>
      <c r="H9" s="14">
        <f t="shared" si="0"/>
        <v>54990</v>
      </c>
      <c r="I9" s="11" t="s">
        <v>22</v>
      </c>
      <c r="J9" s="11" t="s">
        <v>138</v>
      </c>
      <c r="K9" s="15" t="s">
        <v>36</v>
      </c>
    </row>
    <row r="10" spans="1:11" x14ac:dyDescent="0.25">
      <c r="A10" s="11" t="s">
        <v>139</v>
      </c>
      <c r="B10" s="16">
        <v>45683</v>
      </c>
      <c r="C10" s="11" t="s">
        <v>140</v>
      </c>
      <c r="D10" s="11" t="s">
        <v>64</v>
      </c>
      <c r="E10" s="11" t="s">
        <v>65</v>
      </c>
      <c r="F10" s="11">
        <v>5</v>
      </c>
      <c r="G10" s="14">
        <v>52990</v>
      </c>
      <c r="H10" s="14">
        <f t="shared" si="0"/>
        <v>264950</v>
      </c>
      <c r="I10" s="11" t="s">
        <v>39</v>
      </c>
      <c r="J10" s="11" t="s">
        <v>141</v>
      </c>
      <c r="K10" s="15" t="s">
        <v>14</v>
      </c>
    </row>
    <row r="11" spans="1:11" x14ac:dyDescent="0.25">
      <c r="A11" s="11" t="s">
        <v>142</v>
      </c>
      <c r="B11" s="16">
        <v>45683</v>
      </c>
      <c r="C11" s="11" t="s">
        <v>129</v>
      </c>
      <c r="D11" s="11" t="s">
        <v>52</v>
      </c>
      <c r="E11" s="11" t="s">
        <v>143</v>
      </c>
      <c r="F11" s="11">
        <v>4</v>
      </c>
      <c r="G11" s="14">
        <v>34990</v>
      </c>
      <c r="H11" s="14">
        <f t="shared" si="0"/>
        <v>139960</v>
      </c>
      <c r="I11" s="11" t="s">
        <v>39</v>
      </c>
      <c r="J11" s="11" t="s">
        <v>141</v>
      </c>
      <c r="K11" s="15" t="s">
        <v>25</v>
      </c>
    </row>
    <row r="12" spans="1:11" x14ac:dyDescent="0.25">
      <c r="A12" s="11" t="s">
        <v>144</v>
      </c>
      <c r="B12" s="16">
        <v>45679</v>
      </c>
      <c r="C12" s="11" t="s">
        <v>125</v>
      </c>
      <c r="D12" s="11" t="s">
        <v>92</v>
      </c>
      <c r="E12" s="11" t="s">
        <v>93</v>
      </c>
      <c r="F12" s="11">
        <v>5</v>
      </c>
      <c r="G12" s="14">
        <v>13990</v>
      </c>
      <c r="H12" s="14">
        <f t="shared" si="0"/>
        <v>69950</v>
      </c>
      <c r="I12" s="11" t="s">
        <v>28</v>
      </c>
      <c r="J12" s="11" t="s">
        <v>141</v>
      </c>
      <c r="K12" s="15" t="s">
        <v>25</v>
      </c>
    </row>
    <row r="13" spans="1:11" x14ac:dyDescent="0.25">
      <c r="A13" s="11" t="s">
        <v>145</v>
      </c>
      <c r="B13" s="16">
        <v>45669</v>
      </c>
      <c r="C13" s="11" t="s">
        <v>146</v>
      </c>
      <c r="D13" s="11" t="s">
        <v>54</v>
      </c>
      <c r="E13" s="11" t="s">
        <v>55</v>
      </c>
      <c r="F13" s="11">
        <v>2</v>
      </c>
      <c r="G13" s="14">
        <v>54990</v>
      </c>
      <c r="H13" s="14">
        <f t="shared" si="0"/>
        <v>109980</v>
      </c>
      <c r="I13" s="11" t="s">
        <v>39</v>
      </c>
      <c r="J13" s="11" t="s">
        <v>123</v>
      </c>
      <c r="K13" s="15" t="s">
        <v>30</v>
      </c>
    </row>
    <row r="14" spans="1:11" x14ac:dyDescent="0.25">
      <c r="A14" s="11" t="s">
        <v>147</v>
      </c>
      <c r="B14" s="16">
        <v>45679</v>
      </c>
      <c r="C14" s="11" t="s">
        <v>122</v>
      </c>
      <c r="D14" s="11" t="s">
        <v>62</v>
      </c>
      <c r="E14" s="11" t="s">
        <v>63</v>
      </c>
      <c r="F14" s="11">
        <v>3</v>
      </c>
      <c r="G14" s="14">
        <v>9990</v>
      </c>
      <c r="H14" s="14">
        <f t="shared" si="0"/>
        <v>29970</v>
      </c>
      <c r="I14" s="11" t="s">
        <v>22</v>
      </c>
      <c r="J14" s="11" t="s">
        <v>141</v>
      </c>
      <c r="K14" s="15" t="s">
        <v>25</v>
      </c>
    </row>
    <row r="15" spans="1:11" x14ac:dyDescent="0.25">
      <c r="A15" s="11" t="s">
        <v>148</v>
      </c>
      <c r="B15" s="16">
        <v>45686</v>
      </c>
      <c r="C15" s="11" t="s">
        <v>149</v>
      </c>
      <c r="D15" s="11" t="s">
        <v>98</v>
      </c>
      <c r="E15" s="11" t="s">
        <v>99</v>
      </c>
      <c r="F15" s="11">
        <v>4</v>
      </c>
      <c r="G15" s="14">
        <v>4990</v>
      </c>
      <c r="H15" s="14">
        <f t="shared" si="0"/>
        <v>19960</v>
      </c>
      <c r="I15" s="11" t="s">
        <v>28</v>
      </c>
      <c r="J15" s="11" t="s">
        <v>150</v>
      </c>
      <c r="K15" s="15" t="s">
        <v>25</v>
      </c>
    </row>
    <row r="16" spans="1:11" x14ac:dyDescent="0.25">
      <c r="A16" s="11" t="s">
        <v>151</v>
      </c>
      <c r="B16" s="16">
        <v>45658</v>
      </c>
      <c r="C16" s="11" t="s">
        <v>152</v>
      </c>
      <c r="D16" s="11" t="s">
        <v>88</v>
      </c>
      <c r="E16" s="11" t="s">
        <v>89</v>
      </c>
      <c r="F16" s="11">
        <v>1</v>
      </c>
      <c r="G16" s="14">
        <v>29990</v>
      </c>
      <c r="H16" s="14">
        <f t="shared" si="0"/>
        <v>29990</v>
      </c>
      <c r="I16" s="11" t="s">
        <v>39</v>
      </c>
      <c r="J16" s="11" t="s">
        <v>138</v>
      </c>
      <c r="K16" s="15" t="s">
        <v>14</v>
      </c>
    </row>
    <row r="17" spans="1:11" x14ac:dyDescent="0.25">
      <c r="A17" s="11" t="s">
        <v>153</v>
      </c>
      <c r="B17" s="16">
        <v>45686</v>
      </c>
      <c r="C17" s="11" t="s">
        <v>154</v>
      </c>
      <c r="D17" s="11" t="s">
        <v>66</v>
      </c>
      <c r="E17" s="11" t="s">
        <v>67</v>
      </c>
      <c r="F17" s="11">
        <v>4</v>
      </c>
      <c r="G17" s="14">
        <v>44990</v>
      </c>
      <c r="H17" s="14">
        <f t="shared" si="0"/>
        <v>179960</v>
      </c>
      <c r="I17" s="11" t="s">
        <v>33</v>
      </c>
      <c r="J17" s="11" t="s">
        <v>141</v>
      </c>
      <c r="K17" s="15" t="s">
        <v>14</v>
      </c>
    </row>
    <row r="18" spans="1:11" x14ac:dyDescent="0.25">
      <c r="A18" s="11" t="s">
        <v>155</v>
      </c>
      <c r="B18" s="16">
        <v>45678</v>
      </c>
      <c r="C18" s="11" t="s">
        <v>156</v>
      </c>
      <c r="D18" s="11" t="s">
        <v>82</v>
      </c>
      <c r="E18" s="11" t="s">
        <v>83</v>
      </c>
      <c r="F18" s="11">
        <v>2</v>
      </c>
      <c r="G18" s="14">
        <v>54990</v>
      </c>
      <c r="H18" s="14">
        <f t="shared" si="0"/>
        <v>109980</v>
      </c>
      <c r="I18" s="11" t="s">
        <v>33</v>
      </c>
      <c r="J18" s="11" t="s">
        <v>157</v>
      </c>
      <c r="K18" s="15" t="s">
        <v>14</v>
      </c>
    </row>
    <row r="19" spans="1:11" x14ac:dyDescent="0.25">
      <c r="A19" s="11" t="s">
        <v>158</v>
      </c>
      <c r="B19" s="16">
        <v>45662</v>
      </c>
      <c r="C19" s="11" t="s">
        <v>125</v>
      </c>
      <c r="D19" s="11" t="s">
        <v>80</v>
      </c>
      <c r="E19" s="11" t="s">
        <v>81</v>
      </c>
      <c r="F19" s="11">
        <v>4</v>
      </c>
      <c r="G19" s="14">
        <v>7990</v>
      </c>
      <c r="H19" s="14">
        <f t="shared" si="0"/>
        <v>31960</v>
      </c>
      <c r="I19" s="11" t="s">
        <v>28</v>
      </c>
      <c r="J19" s="11" t="s">
        <v>127</v>
      </c>
      <c r="K19" s="15" t="s">
        <v>14</v>
      </c>
    </row>
    <row r="20" spans="1:11" x14ac:dyDescent="0.25">
      <c r="A20" s="11" t="s">
        <v>159</v>
      </c>
      <c r="B20" s="16">
        <v>45662</v>
      </c>
      <c r="C20" s="11" t="s">
        <v>160</v>
      </c>
      <c r="D20" s="11" t="s">
        <v>64</v>
      </c>
      <c r="E20" s="11" t="s">
        <v>65</v>
      </c>
      <c r="F20" s="11">
        <v>1</v>
      </c>
      <c r="G20" s="14">
        <v>52990</v>
      </c>
      <c r="H20" s="14">
        <f t="shared" si="0"/>
        <v>52990</v>
      </c>
      <c r="I20" s="11" t="s">
        <v>22</v>
      </c>
      <c r="J20" s="11" t="s">
        <v>138</v>
      </c>
      <c r="K20" s="15" t="s">
        <v>19</v>
      </c>
    </row>
    <row r="21" spans="1:11" x14ac:dyDescent="0.25">
      <c r="A21" s="11" t="s">
        <v>161</v>
      </c>
      <c r="B21" s="16">
        <v>45688</v>
      </c>
      <c r="C21" s="11" t="s">
        <v>132</v>
      </c>
      <c r="D21" s="11" t="s">
        <v>92</v>
      </c>
      <c r="E21" s="11" t="s">
        <v>93</v>
      </c>
      <c r="F21" s="11">
        <v>4</v>
      </c>
      <c r="G21" s="14">
        <v>13990</v>
      </c>
      <c r="H21" s="14">
        <f t="shared" si="0"/>
        <v>55960</v>
      </c>
      <c r="I21" s="11" t="s">
        <v>11</v>
      </c>
      <c r="J21" s="11" t="s">
        <v>123</v>
      </c>
      <c r="K21" s="15" t="s">
        <v>14</v>
      </c>
    </row>
    <row r="22" spans="1:11" x14ac:dyDescent="0.25">
      <c r="A22" s="11" t="s">
        <v>162</v>
      </c>
      <c r="B22" s="16">
        <v>45660</v>
      </c>
      <c r="C22" s="11" t="s">
        <v>146</v>
      </c>
      <c r="D22" s="11" t="s">
        <v>74</v>
      </c>
      <c r="E22" s="11" t="s">
        <v>75</v>
      </c>
      <c r="F22" s="11">
        <v>1</v>
      </c>
      <c r="G22" s="14">
        <v>12990</v>
      </c>
      <c r="H22" s="14">
        <f t="shared" si="0"/>
        <v>12990</v>
      </c>
      <c r="I22" s="11" t="s">
        <v>11</v>
      </c>
      <c r="J22" s="11" t="s">
        <v>133</v>
      </c>
      <c r="K22" s="15" t="s">
        <v>14</v>
      </c>
    </row>
    <row r="23" spans="1:11" x14ac:dyDescent="0.25">
      <c r="A23" s="11" t="s">
        <v>163</v>
      </c>
      <c r="B23" s="16">
        <v>45683</v>
      </c>
      <c r="C23" s="11" t="s">
        <v>125</v>
      </c>
      <c r="D23" s="11" t="s">
        <v>76</v>
      </c>
      <c r="E23" s="11" t="s">
        <v>77</v>
      </c>
      <c r="F23" s="11">
        <v>1</v>
      </c>
      <c r="G23" s="14">
        <v>5490</v>
      </c>
      <c r="H23" s="14">
        <f t="shared" si="0"/>
        <v>5490</v>
      </c>
      <c r="I23" s="11" t="s">
        <v>33</v>
      </c>
      <c r="J23" s="11" t="s">
        <v>133</v>
      </c>
      <c r="K23" s="15" t="s">
        <v>14</v>
      </c>
    </row>
    <row r="24" spans="1:11" x14ac:dyDescent="0.25">
      <c r="A24" s="11" t="s">
        <v>164</v>
      </c>
      <c r="B24" s="16">
        <v>45668</v>
      </c>
      <c r="C24" s="11" t="s">
        <v>122</v>
      </c>
      <c r="D24" s="11" t="s">
        <v>82</v>
      </c>
      <c r="E24" s="11" t="s">
        <v>83</v>
      </c>
      <c r="F24" s="11">
        <v>1</v>
      </c>
      <c r="G24" s="14">
        <v>54990</v>
      </c>
      <c r="H24" s="14">
        <f t="shared" si="0"/>
        <v>54990</v>
      </c>
      <c r="I24" s="11" t="s">
        <v>33</v>
      </c>
      <c r="J24" s="11" t="s">
        <v>138</v>
      </c>
      <c r="K24" s="15" t="s">
        <v>25</v>
      </c>
    </row>
    <row r="25" spans="1:11" x14ac:dyDescent="0.25">
      <c r="A25" s="11" t="s">
        <v>165</v>
      </c>
      <c r="B25" s="16">
        <v>45669</v>
      </c>
      <c r="C25" s="11" t="s">
        <v>166</v>
      </c>
      <c r="D25" s="11" t="s">
        <v>92</v>
      </c>
      <c r="E25" s="11" t="s">
        <v>93</v>
      </c>
      <c r="F25" s="11">
        <v>2</v>
      </c>
      <c r="G25" s="14">
        <v>13990</v>
      </c>
      <c r="H25" s="14">
        <f t="shared" si="0"/>
        <v>27980</v>
      </c>
      <c r="I25" s="11" t="s">
        <v>28</v>
      </c>
      <c r="J25" s="11" t="s">
        <v>123</v>
      </c>
      <c r="K25" s="15" t="s">
        <v>14</v>
      </c>
    </row>
    <row r="26" spans="1:11" x14ac:dyDescent="0.25">
      <c r="A26" s="11" t="s">
        <v>167</v>
      </c>
      <c r="B26" s="16">
        <v>45669</v>
      </c>
      <c r="C26" s="11" t="s">
        <v>168</v>
      </c>
      <c r="D26" s="11" t="s">
        <v>98</v>
      </c>
      <c r="E26" s="11" t="s">
        <v>99</v>
      </c>
      <c r="F26" s="11">
        <v>1</v>
      </c>
      <c r="G26" s="14">
        <v>4990</v>
      </c>
      <c r="H26" s="14">
        <f t="shared" si="0"/>
        <v>4990</v>
      </c>
      <c r="I26" s="11" t="s">
        <v>39</v>
      </c>
      <c r="J26" s="11" t="s">
        <v>127</v>
      </c>
      <c r="K26" s="15" t="s">
        <v>36</v>
      </c>
    </row>
    <row r="27" spans="1:11" x14ac:dyDescent="0.25">
      <c r="A27" s="11" t="s">
        <v>169</v>
      </c>
      <c r="B27" s="16">
        <v>45670</v>
      </c>
      <c r="C27" s="11" t="s">
        <v>125</v>
      </c>
      <c r="D27" s="11" t="s">
        <v>70</v>
      </c>
      <c r="E27" s="11" t="s">
        <v>71</v>
      </c>
      <c r="F27" s="11">
        <v>2</v>
      </c>
      <c r="G27" s="14">
        <v>39990</v>
      </c>
      <c r="H27" s="14">
        <f t="shared" si="0"/>
        <v>79980</v>
      </c>
      <c r="I27" s="11" t="s">
        <v>39</v>
      </c>
      <c r="J27" s="11" t="s">
        <v>170</v>
      </c>
      <c r="K27" s="15" t="s">
        <v>25</v>
      </c>
    </row>
    <row r="28" spans="1:11" x14ac:dyDescent="0.25">
      <c r="A28" s="11" t="s">
        <v>171</v>
      </c>
      <c r="B28" s="16">
        <v>45669</v>
      </c>
      <c r="C28" s="11" t="s">
        <v>136</v>
      </c>
      <c r="D28" s="11" t="s">
        <v>86</v>
      </c>
      <c r="E28" s="11" t="s">
        <v>126</v>
      </c>
      <c r="F28" s="11">
        <v>3</v>
      </c>
      <c r="G28" s="14">
        <v>18990</v>
      </c>
      <c r="H28" s="14">
        <f t="shared" si="0"/>
        <v>56970</v>
      </c>
      <c r="I28" s="11" t="s">
        <v>33</v>
      </c>
      <c r="J28" s="11" t="s">
        <v>123</v>
      </c>
      <c r="K28" s="15" t="s">
        <v>14</v>
      </c>
    </row>
    <row r="29" spans="1:11" x14ac:dyDescent="0.25">
      <c r="A29" s="11" t="s">
        <v>172</v>
      </c>
      <c r="B29" s="16">
        <v>45683</v>
      </c>
      <c r="C29" s="11" t="s">
        <v>173</v>
      </c>
      <c r="D29" s="11" t="s">
        <v>76</v>
      </c>
      <c r="E29" s="11" t="s">
        <v>77</v>
      </c>
      <c r="F29" s="11">
        <v>4</v>
      </c>
      <c r="G29" s="14">
        <v>5490</v>
      </c>
      <c r="H29" s="14">
        <f t="shared" si="0"/>
        <v>21960</v>
      </c>
      <c r="I29" s="11" t="s">
        <v>11</v>
      </c>
      <c r="J29" s="11" t="s">
        <v>174</v>
      </c>
      <c r="K29" s="15" t="s">
        <v>30</v>
      </c>
    </row>
    <row r="30" spans="1:11" x14ac:dyDescent="0.25">
      <c r="A30" s="11" t="s">
        <v>175</v>
      </c>
      <c r="B30" s="16">
        <v>45679</v>
      </c>
      <c r="C30" s="11" t="s">
        <v>166</v>
      </c>
      <c r="D30" s="11" t="s">
        <v>74</v>
      </c>
      <c r="E30" s="11" t="s">
        <v>75</v>
      </c>
      <c r="F30" s="11">
        <v>4</v>
      </c>
      <c r="G30" s="14">
        <v>12990</v>
      </c>
      <c r="H30" s="14">
        <f t="shared" si="0"/>
        <v>51960</v>
      </c>
      <c r="I30" s="11" t="s">
        <v>39</v>
      </c>
      <c r="J30" s="11" t="s">
        <v>157</v>
      </c>
      <c r="K30" s="15" t="s">
        <v>19</v>
      </c>
    </row>
    <row r="31" spans="1:11" x14ac:dyDescent="0.25">
      <c r="A31" s="11" t="s">
        <v>176</v>
      </c>
      <c r="B31" s="16">
        <v>45671</v>
      </c>
      <c r="C31" s="11" t="s">
        <v>166</v>
      </c>
      <c r="D31" s="11" t="s">
        <v>62</v>
      </c>
      <c r="E31" s="11" t="s">
        <v>63</v>
      </c>
      <c r="F31" s="11">
        <v>5</v>
      </c>
      <c r="G31" s="14">
        <v>9990</v>
      </c>
      <c r="H31" s="14">
        <f t="shared" si="0"/>
        <v>49950</v>
      </c>
      <c r="I31" s="11" t="s">
        <v>22</v>
      </c>
      <c r="J31" s="11" t="s">
        <v>141</v>
      </c>
      <c r="K31" s="15" t="s">
        <v>36</v>
      </c>
    </row>
    <row r="32" spans="1:11" x14ac:dyDescent="0.25">
      <c r="A32" s="11" t="s">
        <v>177</v>
      </c>
      <c r="B32" s="16">
        <v>45675</v>
      </c>
      <c r="C32" s="11" t="s">
        <v>136</v>
      </c>
      <c r="D32" s="11" t="s">
        <v>72</v>
      </c>
      <c r="E32" s="11" t="s">
        <v>73</v>
      </c>
      <c r="F32" s="11">
        <v>5</v>
      </c>
      <c r="G32" s="14">
        <v>5990</v>
      </c>
      <c r="H32" s="14">
        <f t="shared" si="0"/>
        <v>29950</v>
      </c>
      <c r="I32" s="11" t="s">
        <v>11</v>
      </c>
      <c r="J32" s="11" t="s">
        <v>141</v>
      </c>
      <c r="K32" s="15" t="s">
        <v>25</v>
      </c>
    </row>
    <row r="33" spans="1:11" x14ac:dyDescent="0.25">
      <c r="A33" s="11" t="s">
        <v>178</v>
      </c>
      <c r="B33" s="16">
        <v>45665</v>
      </c>
      <c r="C33" s="11" t="s">
        <v>173</v>
      </c>
      <c r="D33" s="11" t="s">
        <v>72</v>
      </c>
      <c r="E33" s="11" t="s">
        <v>73</v>
      </c>
      <c r="F33" s="11">
        <v>1</v>
      </c>
      <c r="G33" s="14">
        <v>5990</v>
      </c>
      <c r="H33" s="14">
        <f t="shared" si="0"/>
        <v>5990</v>
      </c>
      <c r="I33" s="11" t="s">
        <v>22</v>
      </c>
      <c r="J33" s="11" t="s">
        <v>141</v>
      </c>
      <c r="K33" s="15" t="s">
        <v>14</v>
      </c>
    </row>
    <row r="34" spans="1:11" x14ac:dyDescent="0.25">
      <c r="A34" s="11" t="s">
        <v>179</v>
      </c>
      <c r="B34" s="16">
        <v>45664</v>
      </c>
      <c r="C34" s="11" t="s">
        <v>129</v>
      </c>
      <c r="D34" s="11" t="s">
        <v>68</v>
      </c>
      <c r="E34" s="11" t="s">
        <v>69</v>
      </c>
      <c r="F34" s="11">
        <v>4</v>
      </c>
      <c r="G34" s="14">
        <v>49990</v>
      </c>
      <c r="H34" s="14">
        <f t="shared" si="0"/>
        <v>199960</v>
      </c>
      <c r="I34" s="11" t="s">
        <v>11</v>
      </c>
      <c r="J34" s="11" t="s">
        <v>141</v>
      </c>
      <c r="K34" s="15" t="s">
        <v>14</v>
      </c>
    </row>
    <row r="35" spans="1:11" x14ac:dyDescent="0.25">
      <c r="A35" s="11" t="s">
        <v>180</v>
      </c>
      <c r="B35" s="16">
        <v>45688</v>
      </c>
      <c r="C35" s="11" t="s">
        <v>152</v>
      </c>
      <c r="D35" s="11" t="s">
        <v>84</v>
      </c>
      <c r="E35" s="11" t="s">
        <v>181</v>
      </c>
      <c r="F35" s="11">
        <v>2</v>
      </c>
      <c r="G35" s="14">
        <v>4490</v>
      </c>
      <c r="H35" s="14">
        <f t="shared" ref="H35:H66" si="1">F35*G35</f>
        <v>8980</v>
      </c>
      <c r="I35" s="11" t="s">
        <v>11</v>
      </c>
      <c r="J35" s="11" t="s">
        <v>130</v>
      </c>
      <c r="K35" s="15" t="s">
        <v>19</v>
      </c>
    </row>
    <row r="36" spans="1:11" x14ac:dyDescent="0.25">
      <c r="A36" s="11" t="s">
        <v>182</v>
      </c>
      <c r="B36" s="16">
        <v>45676</v>
      </c>
      <c r="C36" s="11" t="s">
        <v>168</v>
      </c>
      <c r="D36" s="11" t="s">
        <v>56</v>
      </c>
      <c r="E36" s="11" t="s">
        <v>57</v>
      </c>
      <c r="F36" s="11">
        <v>5</v>
      </c>
      <c r="G36" s="14">
        <v>24990</v>
      </c>
      <c r="H36" s="14">
        <f t="shared" si="1"/>
        <v>124950</v>
      </c>
      <c r="I36" s="11" t="s">
        <v>22</v>
      </c>
      <c r="J36" s="11" t="s">
        <v>123</v>
      </c>
      <c r="K36" s="15" t="s">
        <v>25</v>
      </c>
    </row>
    <row r="37" spans="1:11" x14ac:dyDescent="0.25">
      <c r="A37" s="11" t="s">
        <v>183</v>
      </c>
      <c r="B37" s="16">
        <v>45675</v>
      </c>
      <c r="C37" s="11" t="s">
        <v>125</v>
      </c>
      <c r="D37" s="11" t="s">
        <v>60</v>
      </c>
      <c r="E37" s="11" t="s">
        <v>61</v>
      </c>
      <c r="F37" s="11">
        <v>5</v>
      </c>
      <c r="G37" s="14">
        <v>3490</v>
      </c>
      <c r="H37" s="14">
        <f t="shared" si="1"/>
        <v>17450</v>
      </c>
      <c r="I37" s="11" t="s">
        <v>17</v>
      </c>
      <c r="J37" s="11" t="s">
        <v>157</v>
      </c>
      <c r="K37" s="15" t="s">
        <v>30</v>
      </c>
    </row>
    <row r="38" spans="1:11" x14ac:dyDescent="0.25">
      <c r="A38" s="11" t="s">
        <v>184</v>
      </c>
      <c r="B38" s="16">
        <v>45681</v>
      </c>
      <c r="C38" s="11" t="s">
        <v>185</v>
      </c>
      <c r="D38" s="11" t="s">
        <v>100</v>
      </c>
      <c r="E38" s="11" t="s">
        <v>101</v>
      </c>
      <c r="F38" s="11">
        <v>1</v>
      </c>
      <c r="G38" s="14">
        <v>64990</v>
      </c>
      <c r="H38" s="14">
        <f t="shared" si="1"/>
        <v>64990</v>
      </c>
      <c r="I38" s="11" t="s">
        <v>22</v>
      </c>
      <c r="J38" s="11" t="s">
        <v>150</v>
      </c>
      <c r="K38" s="15" t="s">
        <v>30</v>
      </c>
    </row>
    <row r="39" spans="1:11" x14ac:dyDescent="0.25">
      <c r="A39" s="11" t="s">
        <v>186</v>
      </c>
      <c r="B39" s="16">
        <v>45668</v>
      </c>
      <c r="C39" s="11" t="s">
        <v>185</v>
      </c>
      <c r="D39" s="11" t="s">
        <v>110</v>
      </c>
      <c r="E39" s="11" t="s">
        <v>187</v>
      </c>
      <c r="F39" s="11">
        <v>2</v>
      </c>
      <c r="G39" s="14">
        <v>8990</v>
      </c>
      <c r="H39" s="14">
        <f t="shared" si="1"/>
        <v>17980</v>
      </c>
      <c r="I39" s="11" t="s">
        <v>33</v>
      </c>
      <c r="J39" s="11" t="s">
        <v>174</v>
      </c>
      <c r="K39" s="15" t="s">
        <v>14</v>
      </c>
    </row>
    <row r="40" spans="1:11" x14ac:dyDescent="0.25">
      <c r="A40" s="11" t="s">
        <v>188</v>
      </c>
      <c r="B40" s="16">
        <v>45678</v>
      </c>
      <c r="C40" s="11" t="s">
        <v>166</v>
      </c>
      <c r="D40" s="11" t="s">
        <v>108</v>
      </c>
      <c r="E40" s="11" t="s">
        <v>109</v>
      </c>
      <c r="F40" s="11">
        <v>5</v>
      </c>
      <c r="G40" s="14">
        <v>64990</v>
      </c>
      <c r="H40" s="14">
        <f t="shared" si="1"/>
        <v>324950</v>
      </c>
      <c r="I40" s="11" t="s">
        <v>33</v>
      </c>
      <c r="J40" s="11" t="s">
        <v>157</v>
      </c>
      <c r="K40" s="15" t="s">
        <v>25</v>
      </c>
    </row>
    <row r="41" spans="1:11" x14ac:dyDescent="0.25">
      <c r="A41" s="11" t="s">
        <v>189</v>
      </c>
      <c r="B41" s="16">
        <v>45680</v>
      </c>
      <c r="C41" s="11" t="s">
        <v>173</v>
      </c>
      <c r="D41" s="11" t="s">
        <v>58</v>
      </c>
      <c r="E41" s="11" t="s">
        <v>59</v>
      </c>
      <c r="F41" s="11">
        <v>1</v>
      </c>
      <c r="G41" s="14">
        <v>7990</v>
      </c>
      <c r="H41" s="14">
        <f t="shared" si="1"/>
        <v>7990</v>
      </c>
      <c r="I41" s="11" t="s">
        <v>22</v>
      </c>
      <c r="J41" s="11" t="s">
        <v>157</v>
      </c>
      <c r="K41" s="15" t="s">
        <v>25</v>
      </c>
    </row>
    <row r="42" spans="1:11" x14ac:dyDescent="0.25">
      <c r="A42" s="11" t="s">
        <v>190</v>
      </c>
      <c r="B42" s="16">
        <v>45688</v>
      </c>
      <c r="C42" s="11" t="s">
        <v>132</v>
      </c>
      <c r="D42" s="11" t="s">
        <v>72</v>
      </c>
      <c r="E42" s="11" t="s">
        <v>73</v>
      </c>
      <c r="F42" s="11">
        <v>3</v>
      </c>
      <c r="G42" s="14">
        <v>5990</v>
      </c>
      <c r="H42" s="14">
        <f t="shared" si="1"/>
        <v>17970</v>
      </c>
      <c r="I42" s="11" t="s">
        <v>17</v>
      </c>
      <c r="J42" s="11" t="s">
        <v>157</v>
      </c>
      <c r="K42" s="15" t="s">
        <v>25</v>
      </c>
    </row>
    <row r="43" spans="1:11" x14ac:dyDescent="0.25">
      <c r="A43" s="11" t="s">
        <v>191</v>
      </c>
      <c r="B43" s="16">
        <v>45683</v>
      </c>
      <c r="C43" s="11" t="s">
        <v>152</v>
      </c>
      <c r="D43" s="11" t="s">
        <v>104</v>
      </c>
      <c r="E43" s="11" t="s">
        <v>105</v>
      </c>
      <c r="F43" s="11">
        <v>2</v>
      </c>
      <c r="G43" s="14">
        <v>6990</v>
      </c>
      <c r="H43" s="14">
        <f t="shared" si="1"/>
        <v>13980</v>
      </c>
      <c r="I43" s="11" t="s">
        <v>28</v>
      </c>
      <c r="J43" s="11" t="s">
        <v>127</v>
      </c>
      <c r="K43" s="15" t="s">
        <v>25</v>
      </c>
    </row>
    <row r="44" spans="1:11" x14ac:dyDescent="0.25">
      <c r="A44" s="11" t="s">
        <v>192</v>
      </c>
      <c r="B44" s="16">
        <v>45670</v>
      </c>
      <c r="C44" s="11" t="s">
        <v>146</v>
      </c>
      <c r="D44" s="11" t="s">
        <v>68</v>
      </c>
      <c r="E44" s="11" t="s">
        <v>69</v>
      </c>
      <c r="F44" s="11">
        <v>2</v>
      </c>
      <c r="G44" s="14">
        <v>49990</v>
      </c>
      <c r="H44" s="14">
        <f t="shared" si="1"/>
        <v>99980</v>
      </c>
      <c r="I44" s="11" t="s">
        <v>33</v>
      </c>
      <c r="J44" s="11" t="s">
        <v>133</v>
      </c>
      <c r="K44" s="15" t="s">
        <v>25</v>
      </c>
    </row>
    <row r="45" spans="1:11" x14ac:dyDescent="0.25">
      <c r="A45" s="11" t="s">
        <v>193</v>
      </c>
      <c r="B45" s="16">
        <v>45660</v>
      </c>
      <c r="C45" s="11" t="s">
        <v>156</v>
      </c>
      <c r="D45" s="11" t="s">
        <v>58</v>
      </c>
      <c r="E45" s="11" t="s">
        <v>59</v>
      </c>
      <c r="F45" s="11">
        <v>3</v>
      </c>
      <c r="G45" s="14">
        <v>7990</v>
      </c>
      <c r="H45" s="14">
        <f t="shared" si="1"/>
        <v>23970</v>
      </c>
      <c r="I45" s="11" t="s">
        <v>33</v>
      </c>
      <c r="J45" s="11" t="s">
        <v>150</v>
      </c>
      <c r="K45" s="15" t="s">
        <v>25</v>
      </c>
    </row>
    <row r="46" spans="1:11" x14ac:dyDescent="0.25">
      <c r="A46" s="11" t="s">
        <v>194</v>
      </c>
      <c r="B46" s="16">
        <v>45659</v>
      </c>
      <c r="C46" s="11" t="s">
        <v>185</v>
      </c>
      <c r="D46" s="11" t="s">
        <v>54</v>
      </c>
      <c r="E46" s="11" t="s">
        <v>55</v>
      </c>
      <c r="F46" s="11">
        <v>5</v>
      </c>
      <c r="G46" s="14">
        <v>54990</v>
      </c>
      <c r="H46" s="14">
        <f t="shared" si="1"/>
        <v>274950</v>
      </c>
      <c r="I46" s="11" t="s">
        <v>28</v>
      </c>
      <c r="J46" s="11" t="s">
        <v>170</v>
      </c>
      <c r="K46" s="15" t="s">
        <v>14</v>
      </c>
    </row>
    <row r="47" spans="1:11" x14ac:dyDescent="0.25">
      <c r="A47" s="11" t="s">
        <v>195</v>
      </c>
      <c r="B47" s="16">
        <v>45672</v>
      </c>
      <c r="C47" s="11" t="s">
        <v>173</v>
      </c>
      <c r="D47" s="11" t="s">
        <v>100</v>
      </c>
      <c r="E47" s="11" t="s">
        <v>101</v>
      </c>
      <c r="F47" s="11">
        <v>3</v>
      </c>
      <c r="G47" s="14">
        <v>64990</v>
      </c>
      <c r="H47" s="14">
        <f t="shared" si="1"/>
        <v>194970</v>
      </c>
      <c r="I47" s="11" t="s">
        <v>17</v>
      </c>
      <c r="J47" s="11" t="s">
        <v>157</v>
      </c>
      <c r="K47" s="15" t="s">
        <v>19</v>
      </c>
    </row>
    <row r="48" spans="1:11" x14ac:dyDescent="0.25">
      <c r="A48" s="11" t="s">
        <v>196</v>
      </c>
      <c r="B48" s="16">
        <v>45684</v>
      </c>
      <c r="C48" s="11" t="s">
        <v>160</v>
      </c>
      <c r="D48" s="11" t="s">
        <v>88</v>
      </c>
      <c r="E48" s="11" t="s">
        <v>89</v>
      </c>
      <c r="F48" s="11">
        <v>5</v>
      </c>
      <c r="G48" s="14">
        <v>29990</v>
      </c>
      <c r="H48" s="14">
        <f t="shared" si="1"/>
        <v>149950</v>
      </c>
      <c r="I48" s="11" t="s">
        <v>22</v>
      </c>
      <c r="J48" s="11" t="s">
        <v>130</v>
      </c>
      <c r="K48" s="15" t="s">
        <v>30</v>
      </c>
    </row>
    <row r="49" spans="1:11" x14ac:dyDescent="0.25">
      <c r="A49" s="11" t="s">
        <v>197</v>
      </c>
      <c r="B49" s="16">
        <v>45674</v>
      </c>
      <c r="C49" s="11" t="s">
        <v>173</v>
      </c>
      <c r="D49" s="11" t="s">
        <v>108</v>
      </c>
      <c r="E49" s="11" t="s">
        <v>109</v>
      </c>
      <c r="F49" s="11">
        <v>3</v>
      </c>
      <c r="G49" s="14">
        <v>64990</v>
      </c>
      <c r="H49" s="14">
        <f t="shared" si="1"/>
        <v>194970</v>
      </c>
      <c r="I49" s="11" t="s">
        <v>22</v>
      </c>
      <c r="J49" s="11" t="s">
        <v>127</v>
      </c>
      <c r="K49" s="15" t="s">
        <v>14</v>
      </c>
    </row>
    <row r="50" spans="1:11" x14ac:dyDescent="0.25">
      <c r="A50" s="11" t="s">
        <v>198</v>
      </c>
      <c r="B50" s="16">
        <v>45661</v>
      </c>
      <c r="C50" s="11" t="s">
        <v>166</v>
      </c>
      <c r="D50" s="11" t="s">
        <v>78</v>
      </c>
      <c r="E50" s="11" t="s">
        <v>79</v>
      </c>
      <c r="F50" s="11">
        <v>4</v>
      </c>
      <c r="G50" s="14">
        <v>1490</v>
      </c>
      <c r="H50" s="14">
        <f t="shared" si="1"/>
        <v>5960</v>
      </c>
      <c r="I50" s="11" t="s">
        <v>39</v>
      </c>
      <c r="J50" s="11" t="s">
        <v>174</v>
      </c>
      <c r="K50" s="15" t="s">
        <v>30</v>
      </c>
    </row>
    <row r="51" spans="1:11" x14ac:dyDescent="0.25">
      <c r="A51" s="11" t="s">
        <v>199</v>
      </c>
      <c r="B51" s="16">
        <v>45675</v>
      </c>
      <c r="C51" s="11" t="s">
        <v>200</v>
      </c>
      <c r="D51" s="11" t="s">
        <v>82</v>
      </c>
      <c r="E51" s="11" t="s">
        <v>83</v>
      </c>
      <c r="F51" s="11">
        <v>5</v>
      </c>
      <c r="G51" s="14">
        <v>54990</v>
      </c>
      <c r="H51" s="14">
        <f t="shared" si="1"/>
        <v>274950</v>
      </c>
      <c r="I51" s="11" t="s">
        <v>17</v>
      </c>
      <c r="J51" s="11" t="s">
        <v>138</v>
      </c>
      <c r="K51" s="15" t="s">
        <v>25</v>
      </c>
    </row>
    <row r="52" spans="1:11" x14ac:dyDescent="0.25">
      <c r="A52" s="11" t="s">
        <v>201</v>
      </c>
      <c r="B52" s="16">
        <v>45686</v>
      </c>
      <c r="C52" s="11" t="s">
        <v>168</v>
      </c>
      <c r="D52" s="11" t="s">
        <v>90</v>
      </c>
      <c r="E52" s="11" t="s">
        <v>202</v>
      </c>
      <c r="F52" s="11">
        <v>1</v>
      </c>
      <c r="G52" s="14">
        <v>6990</v>
      </c>
      <c r="H52" s="14">
        <f t="shared" si="1"/>
        <v>6990</v>
      </c>
      <c r="I52" s="11" t="s">
        <v>28</v>
      </c>
      <c r="J52" s="11" t="s">
        <v>141</v>
      </c>
      <c r="K52" s="15" t="s">
        <v>14</v>
      </c>
    </row>
    <row r="53" spans="1:11" x14ac:dyDescent="0.25">
      <c r="A53" s="11" t="s">
        <v>203</v>
      </c>
      <c r="B53" s="16">
        <v>45682</v>
      </c>
      <c r="C53" s="11" t="s">
        <v>156</v>
      </c>
      <c r="D53" s="11" t="s">
        <v>96</v>
      </c>
      <c r="E53" s="11" t="s">
        <v>97</v>
      </c>
      <c r="F53" s="11">
        <v>5</v>
      </c>
      <c r="G53" s="14">
        <v>24990</v>
      </c>
      <c r="H53" s="14">
        <f t="shared" si="1"/>
        <v>124950</v>
      </c>
      <c r="I53" s="11" t="s">
        <v>11</v>
      </c>
      <c r="J53" s="11" t="s">
        <v>138</v>
      </c>
      <c r="K53" s="15" t="s">
        <v>25</v>
      </c>
    </row>
    <row r="54" spans="1:11" x14ac:dyDescent="0.25">
      <c r="A54" s="11" t="s">
        <v>204</v>
      </c>
      <c r="B54" s="16">
        <v>45665</v>
      </c>
      <c r="C54" s="11" t="s">
        <v>149</v>
      </c>
      <c r="D54" s="11" t="s">
        <v>106</v>
      </c>
      <c r="E54" s="11" t="s">
        <v>205</v>
      </c>
      <c r="F54" s="11">
        <v>3</v>
      </c>
      <c r="G54" s="14">
        <v>12990</v>
      </c>
      <c r="H54" s="14">
        <f t="shared" si="1"/>
        <v>38970</v>
      </c>
      <c r="I54" s="11" t="s">
        <v>22</v>
      </c>
      <c r="J54" s="11" t="s">
        <v>174</v>
      </c>
      <c r="K54" s="15" t="s">
        <v>25</v>
      </c>
    </row>
    <row r="55" spans="1:11" x14ac:dyDescent="0.25">
      <c r="A55" s="11" t="s">
        <v>206</v>
      </c>
      <c r="B55" s="16">
        <v>45669</v>
      </c>
      <c r="C55" s="11" t="s">
        <v>132</v>
      </c>
      <c r="D55" s="11" t="s">
        <v>54</v>
      </c>
      <c r="E55" s="11" t="s">
        <v>55</v>
      </c>
      <c r="F55" s="11">
        <v>5</v>
      </c>
      <c r="G55" s="14">
        <v>54990</v>
      </c>
      <c r="H55" s="14">
        <f t="shared" si="1"/>
        <v>274950</v>
      </c>
      <c r="I55" s="11" t="s">
        <v>11</v>
      </c>
      <c r="J55" s="11" t="s">
        <v>157</v>
      </c>
      <c r="K55" s="15" t="s">
        <v>14</v>
      </c>
    </row>
    <row r="56" spans="1:11" x14ac:dyDescent="0.25">
      <c r="A56" s="11" t="s">
        <v>207</v>
      </c>
      <c r="B56" s="16">
        <v>45664</v>
      </c>
      <c r="C56" s="11" t="s">
        <v>200</v>
      </c>
      <c r="D56" s="11" t="s">
        <v>68</v>
      </c>
      <c r="E56" s="11" t="s">
        <v>69</v>
      </c>
      <c r="F56" s="11">
        <v>5</v>
      </c>
      <c r="G56" s="14">
        <v>49990</v>
      </c>
      <c r="H56" s="14">
        <f t="shared" si="1"/>
        <v>249950</v>
      </c>
      <c r="I56" s="11" t="s">
        <v>17</v>
      </c>
      <c r="J56" s="11" t="s">
        <v>141</v>
      </c>
      <c r="K56" s="15" t="s">
        <v>14</v>
      </c>
    </row>
    <row r="57" spans="1:11" x14ac:dyDescent="0.25">
      <c r="A57" s="11" t="s">
        <v>208</v>
      </c>
      <c r="B57" s="16">
        <v>45667</v>
      </c>
      <c r="C57" s="11" t="s">
        <v>140</v>
      </c>
      <c r="D57" s="11" t="s">
        <v>106</v>
      </c>
      <c r="E57" s="11" t="s">
        <v>205</v>
      </c>
      <c r="F57" s="11">
        <v>4</v>
      </c>
      <c r="G57" s="14">
        <v>12990</v>
      </c>
      <c r="H57" s="14">
        <f t="shared" si="1"/>
        <v>51960</v>
      </c>
      <c r="I57" s="11" t="s">
        <v>17</v>
      </c>
      <c r="J57" s="11" t="s">
        <v>170</v>
      </c>
      <c r="K57" s="15" t="s">
        <v>36</v>
      </c>
    </row>
    <row r="58" spans="1:11" x14ac:dyDescent="0.25">
      <c r="A58" s="11" t="s">
        <v>209</v>
      </c>
      <c r="B58" s="16">
        <v>45660</v>
      </c>
      <c r="C58" s="11" t="s">
        <v>210</v>
      </c>
      <c r="D58" s="11" t="s">
        <v>80</v>
      </c>
      <c r="E58" s="11" t="s">
        <v>81</v>
      </c>
      <c r="F58" s="11">
        <v>5</v>
      </c>
      <c r="G58" s="14">
        <v>7990</v>
      </c>
      <c r="H58" s="14">
        <f t="shared" si="1"/>
        <v>39950</v>
      </c>
      <c r="I58" s="11" t="s">
        <v>33</v>
      </c>
      <c r="J58" s="11" t="s">
        <v>141</v>
      </c>
      <c r="K58" s="15" t="s">
        <v>19</v>
      </c>
    </row>
    <row r="59" spans="1:11" x14ac:dyDescent="0.25">
      <c r="A59" s="11" t="s">
        <v>211</v>
      </c>
      <c r="B59" s="16">
        <v>45683</v>
      </c>
      <c r="C59" s="11" t="s">
        <v>152</v>
      </c>
      <c r="D59" s="11" t="s">
        <v>84</v>
      </c>
      <c r="E59" s="11" t="s">
        <v>181</v>
      </c>
      <c r="F59" s="11">
        <v>1</v>
      </c>
      <c r="G59" s="14">
        <v>4490</v>
      </c>
      <c r="H59" s="14">
        <f t="shared" si="1"/>
        <v>4490</v>
      </c>
      <c r="I59" s="11" t="s">
        <v>39</v>
      </c>
      <c r="J59" s="11" t="s">
        <v>133</v>
      </c>
      <c r="K59" s="15" t="s">
        <v>25</v>
      </c>
    </row>
    <row r="60" spans="1:11" x14ac:dyDescent="0.25">
      <c r="A60" s="11" t="s">
        <v>212</v>
      </c>
      <c r="B60" s="16">
        <v>45683</v>
      </c>
      <c r="C60" s="11" t="s">
        <v>160</v>
      </c>
      <c r="D60" s="11" t="s">
        <v>58</v>
      </c>
      <c r="E60" s="11" t="s">
        <v>59</v>
      </c>
      <c r="F60" s="11">
        <v>1</v>
      </c>
      <c r="G60" s="14">
        <v>7990</v>
      </c>
      <c r="H60" s="14">
        <f t="shared" si="1"/>
        <v>7990</v>
      </c>
      <c r="I60" s="11" t="s">
        <v>33</v>
      </c>
      <c r="J60" s="11" t="s">
        <v>133</v>
      </c>
      <c r="K60" s="15" t="s">
        <v>25</v>
      </c>
    </row>
    <row r="61" spans="1:11" x14ac:dyDescent="0.25">
      <c r="A61" s="11" t="s">
        <v>213</v>
      </c>
      <c r="B61" s="16">
        <v>45674</v>
      </c>
      <c r="C61" s="11" t="s">
        <v>154</v>
      </c>
      <c r="D61" s="11" t="s">
        <v>60</v>
      </c>
      <c r="E61" s="11" t="s">
        <v>61</v>
      </c>
      <c r="F61" s="11">
        <v>4</v>
      </c>
      <c r="G61" s="14">
        <v>3490</v>
      </c>
      <c r="H61" s="14">
        <f t="shared" si="1"/>
        <v>13960</v>
      </c>
      <c r="I61" s="11" t="s">
        <v>17</v>
      </c>
      <c r="J61" s="11" t="s">
        <v>130</v>
      </c>
      <c r="K61" s="15" t="s">
        <v>14</v>
      </c>
    </row>
    <row r="62" spans="1:11" x14ac:dyDescent="0.25">
      <c r="A62" s="11" t="s">
        <v>214</v>
      </c>
      <c r="B62" s="16">
        <v>45665</v>
      </c>
      <c r="C62" s="11" t="s">
        <v>200</v>
      </c>
      <c r="D62" s="11" t="s">
        <v>66</v>
      </c>
      <c r="E62" s="11" t="s">
        <v>67</v>
      </c>
      <c r="F62" s="11">
        <v>2</v>
      </c>
      <c r="G62" s="14">
        <v>44990</v>
      </c>
      <c r="H62" s="14">
        <f t="shared" si="1"/>
        <v>89980</v>
      </c>
      <c r="I62" s="11" t="s">
        <v>11</v>
      </c>
      <c r="J62" s="11" t="s">
        <v>133</v>
      </c>
      <c r="K62" s="15" t="s">
        <v>14</v>
      </c>
    </row>
    <row r="63" spans="1:11" x14ac:dyDescent="0.25">
      <c r="A63" s="11" t="s">
        <v>215</v>
      </c>
      <c r="B63" s="16">
        <v>45658</v>
      </c>
      <c r="C63" s="11" t="s">
        <v>132</v>
      </c>
      <c r="D63" s="11" t="s">
        <v>92</v>
      </c>
      <c r="E63" s="11" t="s">
        <v>93</v>
      </c>
      <c r="F63" s="11">
        <v>3</v>
      </c>
      <c r="G63" s="14">
        <v>13990</v>
      </c>
      <c r="H63" s="14">
        <f t="shared" si="1"/>
        <v>41970</v>
      </c>
      <c r="I63" s="11" t="s">
        <v>33</v>
      </c>
      <c r="J63" s="11" t="s">
        <v>127</v>
      </c>
      <c r="K63" s="15" t="s">
        <v>14</v>
      </c>
    </row>
    <row r="64" spans="1:11" x14ac:dyDescent="0.25">
      <c r="A64" s="11" t="s">
        <v>216</v>
      </c>
      <c r="B64" s="16">
        <v>45687</v>
      </c>
      <c r="C64" s="11" t="s">
        <v>168</v>
      </c>
      <c r="D64" s="11" t="s">
        <v>98</v>
      </c>
      <c r="E64" s="11" t="s">
        <v>99</v>
      </c>
      <c r="F64" s="11">
        <v>4</v>
      </c>
      <c r="G64" s="14">
        <v>4990</v>
      </c>
      <c r="H64" s="14">
        <f t="shared" si="1"/>
        <v>19960</v>
      </c>
      <c r="I64" s="11" t="s">
        <v>39</v>
      </c>
      <c r="J64" s="11" t="s">
        <v>170</v>
      </c>
      <c r="K64" s="15" t="s">
        <v>14</v>
      </c>
    </row>
    <row r="65" spans="1:11" x14ac:dyDescent="0.25">
      <c r="A65" s="11" t="s">
        <v>217</v>
      </c>
      <c r="B65" s="16">
        <v>45667</v>
      </c>
      <c r="C65" s="11" t="s">
        <v>210</v>
      </c>
      <c r="D65" s="11" t="s">
        <v>70</v>
      </c>
      <c r="E65" s="11" t="s">
        <v>71</v>
      </c>
      <c r="F65" s="11">
        <v>3</v>
      </c>
      <c r="G65" s="14">
        <v>39990</v>
      </c>
      <c r="H65" s="14">
        <f t="shared" si="1"/>
        <v>119970</v>
      </c>
      <c r="I65" s="11" t="s">
        <v>17</v>
      </c>
      <c r="J65" s="11" t="s">
        <v>141</v>
      </c>
      <c r="K65" s="15" t="s">
        <v>14</v>
      </c>
    </row>
    <row r="66" spans="1:11" x14ac:dyDescent="0.25">
      <c r="A66" s="11" t="s">
        <v>218</v>
      </c>
      <c r="B66" s="16">
        <v>45681</v>
      </c>
      <c r="C66" s="11" t="s">
        <v>154</v>
      </c>
      <c r="D66" s="11" t="s">
        <v>102</v>
      </c>
      <c r="E66" s="11" t="s">
        <v>103</v>
      </c>
      <c r="F66" s="11">
        <v>2</v>
      </c>
      <c r="G66" s="14">
        <v>99990</v>
      </c>
      <c r="H66" s="14">
        <f t="shared" si="1"/>
        <v>199980</v>
      </c>
      <c r="I66" s="11" t="s">
        <v>28</v>
      </c>
      <c r="J66" s="11" t="s">
        <v>130</v>
      </c>
      <c r="K66" s="15" t="s">
        <v>25</v>
      </c>
    </row>
    <row r="67" spans="1:11" x14ac:dyDescent="0.25">
      <c r="A67" s="11" t="s">
        <v>219</v>
      </c>
      <c r="B67" s="16">
        <v>45665</v>
      </c>
      <c r="C67" s="11" t="s">
        <v>146</v>
      </c>
      <c r="D67" s="11" t="s">
        <v>94</v>
      </c>
      <c r="E67" s="11" t="s">
        <v>95</v>
      </c>
      <c r="F67" s="11">
        <v>4</v>
      </c>
      <c r="G67" s="14">
        <v>9990</v>
      </c>
      <c r="H67" s="14">
        <f t="shared" ref="H67:H98" si="2">F67*G67</f>
        <v>39960</v>
      </c>
      <c r="I67" s="11" t="s">
        <v>28</v>
      </c>
      <c r="J67" s="11" t="s">
        <v>141</v>
      </c>
      <c r="K67" s="15" t="s">
        <v>14</v>
      </c>
    </row>
    <row r="68" spans="1:11" x14ac:dyDescent="0.25">
      <c r="A68" s="11" t="s">
        <v>220</v>
      </c>
      <c r="B68" s="16">
        <v>45670</v>
      </c>
      <c r="C68" s="11" t="s">
        <v>149</v>
      </c>
      <c r="D68" s="11" t="s">
        <v>108</v>
      </c>
      <c r="E68" s="11" t="s">
        <v>109</v>
      </c>
      <c r="F68" s="11">
        <v>4</v>
      </c>
      <c r="G68" s="14">
        <v>64990</v>
      </c>
      <c r="H68" s="14">
        <f t="shared" si="2"/>
        <v>259960</v>
      </c>
      <c r="I68" s="11" t="s">
        <v>11</v>
      </c>
      <c r="J68" s="11" t="s">
        <v>170</v>
      </c>
      <c r="K68" s="15" t="s">
        <v>14</v>
      </c>
    </row>
    <row r="69" spans="1:11" x14ac:dyDescent="0.25">
      <c r="A69" s="11" t="s">
        <v>221</v>
      </c>
      <c r="B69" s="16">
        <v>45673</v>
      </c>
      <c r="C69" s="11" t="s">
        <v>210</v>
      </c>
      <c r="D69" s="11" t="s">
        <v>60</v>
      </c>
      <c r="E69" s="11" t="s">
        <v>61</v>
      </c>
      <c r="F69" s="11">
        <v>1</v>
      </c>
      <c r="G69" s="14">
        <v>3490</v>
      </c>
      <c r="H69" s="14">
        <f t="shared" si="2"/>
        <v>3490</v>
      </c>
      <c r="I69" s="11" t="s">
        <v>28</v>
      </c>
      <c r="J69" s="11" t="s">
        <v>138</v>
      </c>
      <c r="K69" s="15" t="s">
        <v>36</v>
      </c>
    </row>
    <row r="70" spans="1:11" x14ac:dyDescent="0.25">
      <c r="A70" s="11" t="s">
        <v>222</v>
      </c>
      <c r="B70" s="16">
        <v>45677</v>
      </c>
      <c r="C70" s="11" t="s">
        <v>166</v>
      </c>
      <c r="D70" s="11" t="s">
        <v>80</v>
      </c>
      <c r="E70" s="11" t="s">
        <v>81</v>
      </c>
      <c r="F70" s="11">
        <v>5</v>
      </c>
      <c r="G70" s="14">
        <v>7990</v>
      </c>
      <c r="H70" s="14">
        <f t="shared" si="2"/>
        <v>39950</v>
      </c>
      <c r="I70" s="11" t="s">
        <v>22</v>
      </c>
      <c r="J70" s="11" t="s">
        <v>170</v>
      </c>
      <c r="K70" s="15" t="s">
        <v>25</v>
      </c>
    </row>
    <row r="71" spans="1:11" x14ac:dyDescent="0.25">
      <c r="A71" s="11" t="s">
        <v>223</v>
      </c>
      <c r="B71" s="16">
        <v>45664</v>
      </c>
      <c r="C71" s="11" t="s">
        <v>185</v>
      </c>
      <c r="D71" s="11" t="s">
        <v>110</v>
      </c>
      <c r="E71" s="11" t="s">
        <v>187</v>
      </c>
      <c r="F71" s="11">
        <v>1</v>
      </c>
      <c r="G71" s="14">
        <v>8990</v>
      </c>
      <c r="H71" s="14">
        <f t="shared" si="2"/>
        <v>8990</v>
      </c>
      <c r="I71" s="11" t="s">
        <v>11</v>
      </c>
      <c r="J71" s="11" t="s">
        <v>141</v>
      </c>
      <c r="K71" s="15" t="s">
        <v>14</v>
      </c>
    </row>
    <row r="72" spans="1:11" x14ac:dyDescent="0.25">
      <c r="A72" s="11" t="s">
        <v>224</v>
      </c>
      <c r="B72" s="16">
        <v>45676</v>
      </c>
      <c r="C72" s="11" t="s">
        <v>129</v>
      </c>
      <c r="D72" s="11" t="s">
        <v>98</v>
      </c>
      <c r="E72" s="11" t="s">
        <v>99</v>
      </c>
      <c r="F72" s="11">
        <v>1</v>
      </c>
      <c r="G72" s="14">
        <v>4990</v>
      </c>
      <c r="H72" s="14">
        <f t="shared" si="2"/>
        <v>4990</v>
      </c>
      <c r="I72" s="11" t="s">
        <v>39</v>
      </c>
      <c r="J72" s="11" t="s">
        <v>130</v>
      </c>
      <c r="K72" s="15" t="s">
        <v>25</v>
      </c>
    </row>
    <row r="73" spans="1:11" x14ac:dyDescent="0.25">
      <c r="A73" s="11" t="s">
        <v>225</v>
      </c>
      <c r="B73" s="16">
        <v>45663</v>
      </c>
      <c r="C73" s="11" t="s">
        <v>132</v>
      </c>
      <c r="D73" s="11" t="s">
        <v>60</v>
      </c>
      <c r="E73" s="11" t="s">
        <v>61</v>
      </c>
      <c r="F73" s="11">
        <v>4</v>
      </c>
      <c r="G73" s="14">
        <v>3490</v>
      </c>
      <c r="H73" s="14">
        <f t="shared" si="2"/>
        <v>13960</v>
      </c>
      <c r="I73" s="11" t="s">
        <v>17</v>
      </c>
      <c r="J73" s="11" t="s">
        <v>127</v>
      </c>
      <c r="K73" s="15" t="s">
        <v>14</v>
      </c>
    </row>
    <row r="74" spans="1:11" x14ac:dyDescent="0.25">
      <c r="A74" s="11" t="s">
        <v>226</v>
      </c>
      <c r="B74" s="16">
        <v>45683</v>
      </c>
      <c r="C74" s="11" t="s">
        <v>149</v>
      </c>
      <c r="D74" s="11" t="s">
        <v>72</v>
      </c>
      <c r="E74" s="11" t="s">
        <v>73</v>
      </c>
      <c r="F74" s="11">
        <v>1</v>
      </c>
      <c r="G74" s="14">
        <v>5990</v>
      </c>
      <c r="H74" s="14">
        <f t="shared" si="2"/>
        <v>5990</v>
      </c>
      <c r="I74" s="11" t="s">
        <v>11</v>
      </c>
      <c r="J74" s="11" t="s">
        <v>174</v>
      </c>
      <c r="K74" s="15" t="s">
        <v>14</v>
      </c>
    </row>
    <row r="75" spans="1:11" x14ac:dyDescent="0.25">
      <c r="A75" s="11" t="s">
        <v>227</v>
      </c>
      <c r="B75" s="16">
        <v>45672</v>
      </c>
      <c r="C75" s="11" t="s">
        <v>132</v>
      </c>
      <c r="D75" s="11" t="s">
        <v>110</v>
      </c>
      <c r="E75" s="11" t="s">
        <v>187</v>
      </c>
      <c r="F75" s="11">
        <v>2</v>
      </c>
      <c r="G75" s="14">
        <v>8990</v>
      </c>
      <c r="H75" s="14">
        <f t="shared" si="2"/>
        <v>17980</v>
      </c>
      <c r="I75" s="11" t="s">
        <v>39</v>
      </c>
      <c r="J75" s="11" t="s">
        <v>133</v>
      </c>
      <c r="K75" s="15" t="s">
        <v>14</v>
      </c>
    </row>
    <row r="76" spans="1:11" x14ac:dyDescent="0.25">
      <c r="A76" s="11" t="s">
        <v>228</v>
      </c>
      <c r="B76" s="16">
        <v>45659</v>
      </c>
      <c r="C76" s="11" t="s">
        <v>136</v>
      </c>
      <c r="D76" s="11" t="s">
        <v>58</v>
      </c>
      <c r="E76" s="11" t="s">
        <v>59</v>
      </c>
      <c r="F76" s="11">
        <v>4</v>
      </c>
      <c r="G76" s="14">
        <v>7990</v>
      </c>
      <c r="H76" s="14">
        <f t="shared" si="2"/>
        <v>31960</v>
      </c>
      <c r="I76" s="11" t="s">
        <v>39</v>
      </c>
      <c r="J76" s="11" t="s">
        <v>123</v>
      </c>
      <c r="K76" s="15" t="s">
        <v>14</v>
      </c>
    </row>
    <row r="77" spans="1:11" x14ac:dyDescent="0.25">
      <c r="A77" s="11" t="s">
        <v>229</v>
      </c>
      <c r="B77" s="16">
        <v>45679</v>
      </c>
      <c r="C77" s="11" t="s">
        <v>200</v>
      </c>
      <c r="D77" s="11" t="s">
        <v>74</v>
      </c>
      <c r="E77" s="11" t="s">
        <v>75</v>
      </c>
      <c r="F77" s="11">
        <v>4</v>
      </c>
      <c r="G77" s="14">
        <v>12990</v>
      </c>
      <c r="H77" s="14">
        <f t="shared" si="2"/>
        <v>51960</v>
      </c>
      <c r="I77" s="11" t="s">
        <v>17</v>
      </c>
      <c r="J77" s="11" t="s">
        <v>130</v>
      </c>
      <c r="K77" s="15" t="s">
        <v>14</v>
      </c>
    </row>
    <row r="78" spans="1:11" x14ac:dyDescent="0.25">
      <c r="A78" s="11" t="s">
        <v>230</v>
      </c>
      <c r="B78" s="16">
        <v>45683</v>
      </c>
      <c r="C78" s="11" t="s">
        <v>132</v>
      </c>
      <c r="D78" s="11" t="s">
        <v>72</v>
      </c>
      <c r="E78" s="11" t="s">
        <v>73</v>
      </c>
      <c r="F78" s="11">
        <v>2</v>
      </c>
      <c r="G78" s="14">
        <v>5990</v>
      </c>
      <c r="H78" s="14">
        <f t="shared" si="2"/>
        <v>11980</v>
      </c>
      <c r="I78" s="11" t="s">
        <v>11</v>
      </c>
      <c r="J78" s="11" t="s">
        <v>127</v>
      </c>
      <c r="K78" s="15" t="s">
        <v>19</v>
      </c>
    </row>
    <row r="79" spans="1:11" x14ac:dyDescent="0.25">
      <c r="A79" s="11" t="s">
        <v>231</v>
      </c>
      <c r="B79" s="16">
        <v>45668</v>
      </c>
      <c r="C79" s="11" t="s">
        <v>185</v>
      </c>
      <c r="D79" s="11" t="s">
        <v>74</v>
      </c>
      <c r="E79" s="11" t="s">
        <v>75</v>
      </c>
      <c r="F79" s="11">
        <v>2</v>
      </c>
      <c r="G79" s="14">
        <v>12990</v>
      </c>
      <c r="H79" s="14">
        <f t="shared" si="2"/>
        <v>25980</v>
      </c>
      <c r="I79" s="11" t="s">
        <v>11</v>
      </c>
      <c r="J79" s="11" t="s">
        <v>127</v>
      </c>
      <c r="K79" s="15" t="s">
        <v>36</v>
      </c>
    </row>
    <row r="80" spans="1:11" x14ac:dyDescent="0.25">
      <c r="A80" s="11" t="s">
        <v>232</v>
      </c>
      <c r="B80" s="16">
        <v>45660</v>
      </c>
      <c r="C80" s="11" t="s">
        <v>210</v>
      </c>
      <c r="D80" s="11" t="s">
        <v>110</v>
      </c>
      <c r="E80" s="11" t="s">
        <v>187</v>
      </c>
      <c r="F80" s="11">
        <v>2</v>
      </c>
      <c r="G80" s="14">
        <v>8990</v>
      </c>
      <c r="H80" s="14">
        <f t="shared" si="2"/>
        <v>17980</v>
      </c>
      <c r="I80" s="11" t="s">
        <v>22</v>
      </c>
      <c r="J80" s="11" t="s">
        <v>130</v>
      </c>
      <c r="K80" s="15" t="s">
        <v>14</v>
      </c>
    </row>
    <row r="81" spans="1:11" x14ac:dyDescent="0.25">
      <c r="A81" s="11" t="s">
        <v>233</v>
      </c>
      <c r="B81" s="16">
        <v>45675</v>
      </c>
      <c r="C81" s="11" t="s">
        <v>166</v>
      </c>
      <c r="D81" s="11" t="s">
        <v>102</v>
      </c>
      <c r="E81" s="11" t="s">
        <v>103</v>
      </c>
      <c r="F81" s="11">
        <v>5</v>
      </c>
      <c r="G81" s="14">
        <v>99990</v>
      </c>
      <c r="H81" s="14">
        <f t="shared" si="2"/>
        <v>499950</v>
      </c>
      <c r="I81" s="11" t="s">
        <v>39</v>
      </c>
      <c r="J81" s="11" t="s">
        <v>141</v>
      </c>
      <c r="K81" s="15" t="s">
        <v>19</v>
      </c>
    </row>
    <row r="82" spans="1:11" x14ac:dyDescent="0.25">
      <c r="A82" s="11" t="s">
        <v>234</v>
      </c>
      <c r="B82" s="16">
        <v>45687</v>
      </c>
      <c r="C82" s="11" t="s">
        <v>132</v>
      </c>
      <c r="D82" s="11" t="s">
        <v>86</v>
      </c>
      <c r="E82" s="11" t="s">
        <v>126</v>
      </c>
      <c r="F82" s="11">
        <v>3</v>
      </c>
      <c r="G82" s="14">
        <v>18990</v>
      </c>
      <c r="H82" s="14">
        <f t="shared" si="2"/>
        <v>56970</v>
      </c>
      <c r="I82" s="11" t="s">
        <v>22</v>
      </c>
      <c r="J82" s="11" t="s">
        <v>174</v>
      </c>
      <c r="K82" s="15" t="s">
        <v>25</v>
      </c>
    </row>
    <row r="83" spans="1:11" x14ac:dyDescent="0.25">
      <c r="A83" s="11" t="s">
        <v>235</v>
      </c>
      <c r="B83" s="16">
        <v>45686</v>
      </c>
      <c r="C83" s="11" t="s">
        <v>200</v>
      </c>
      <c r="D83" s="11" t="s">
        <v>90</v>
      </c>
      <c r="E83" s="11" t="s">
        <v>202</v>
      </c>
      <c r="F83" s="11">
        <v>3</v>
      </c>
      <c r="G83" s="14">
        <v>6990</v>
      </c>
      <c r="H83" s="14">
        <f t="shared" si="2"/>
        <v>20970</v>
      </c>
      <c r="I83" s="11" t="s">
        <v>22</v>
      </c>
      <c r="J83" s="11" t="s">
        <v>138</v>
      </c>
      <c r="K83" s="15" t="s">
        <v>14</v>
      </c>
    </row>
    <row r="84" spans="1:11" x14ac:dyDescent="0.25">
      <c r="A84" s="11" t="s">
        <v>236</v>
      </c>
      <c r="B84" s="16">
        <v>45683</v>
      </c>
      <c r="C84" s="11" t="s">
        <v>154</v>
      </c>
      <c r="D84" s="11" t="s">
        <v>84</v>
      </c>
      <c r="E84" s="11" t="s">
        <v>181</v>
      </c>
      <c r="F84" s="11">
        <v>1</v>
      </c>
      <c r="G84" s="14">
        <v>4490</v>
      </c>
      <c r="H84" s="14">
        <f t="shared" si="2"/>
        <v>4490</v>
      </c>
      <c r="I84" s="11" t="s">
        <v>39</v>
      </c>
      <c r="J84" s="11" t="s">
        <v>170</v>
      </c>
      <c r="K84" s="15" t="s">
        <v>14</v>
      </c>
    </row>
    <row r="85" spans="1:11" x14ac:dyDescent="0.25">
      <c r="A85" s="11" t="s">
        <v>237</v>
      </c>
      <c r="B85" s="16">
        <v>45670</v>
      </c>
      <c r="C85" s="11" t="s">
        <v>238</v>
      </c>
      <c r="D85" s="11" t="s">
        <v>90</v>
      </c>
      <c r="E85" s="11" t="s">
        <v>202</v>
      </c>
      <c r="F85" s="11">
        <v>3</v>
      </c>
      <c r="G85" s="14">
        <v>6990</v>
      </c>
      <c r="H85" s="14">
        <f t="shared" si="2"/>
        <v>20970</v>
      </c>
      <c r="I85" s="11" t="s">
        <v>28</v>
      </c>
      <c r="J85" s="11" t="s">
        <v>123</v>
      </c>
      <c r="K85" s="15" t="s">
        <v>14</v>
      </c>
    </row>
    <row r="86" spans="1:11" x14ac:dyDescent="0.25">
      <c r="A86" s="11" t="s">
        <v>239</v>
      </c>
      <c r="B86" s="16">
        <v>45688</v>
      </c>
      <c r="C86" s="11" t="s">
        <v>125</v>
      </c>
      <c r="D86" s="11" t="s">
        <v>64</v>
      </c>
      <c r="E86" s="11" t="s">
        <v>65</v>
      </c>
      <c r="F86" s="11">
        <v>4</v>
      </c>
      <c r="G86" s="14">
        <v>52990</v>
      </c>
      <c r="H86" s="14">
        <f t="shared" si="2"/>
        <v>211960</v>
      </c>
      <c r="I86" s="11" t="s">
        <v>39</v>
      </c>
      <c r="J86" s="11" t="s">
        <v>123</v>
      </c>
      <c r="K86" s="15" t="s">
        <v>14</v>
      </c>
    </row>
    <row r="87" spans="1:11" x14ac:dyDescent="0.25">
      <c r="A87" s="11" t="s">
        <v>240</v>
      </c>
      <c r="B87" s="16">
        <v>45664</v>
      </c>
      <c r="C87" s="11" t="s">
        <v>154</v>
      </c>
      <c r="D87" s="11" t="s">
        <v>78</v>
      </c>
      <c r="E87" s="11" t="s">
        <v>79</v>
      </c>
      <c r="F87" s="11">
        <v>4</v>
      </c>
      <c r="G87" s="14">
        <v>1490</v>
      </c>
      <c r="H87" s="14">
        <f t="shared" si="2"/>
        <v>5960</v>
      </c>
      <c r="I87" s="11" t="s">
        <v>22</v>
      </c>
      <c r="J87" s="11" t="s">
        <v>141</v>
      </c>
      <c r="K87" s="15" t="s">
        <v>36</v>
      </c>
    </row>
    <row r="88" spans="1:11" x14ac:dyDescent="0.25">
      <c r="A88" s="11" t="s">
        <v>241</v>
      </c>
      <c r="B88" s="16">
        <v>45663</v>
      </c>
      <c r="C88" s="11" t="s">
        <v>185</v>
      </c>
      <c r="D88" s="11" t="s">
        <v>52</v>
      </c>
      <c r="E88" s="11" t="s">
        <v>143</v>
      </c>
      <c r="F88" s="11">
        <v>3</v>
      </c>
      <c r="G88" s="14">
        <v>34990</v>
      </c>
      <c r="H88" s="14">
        <f t="shared" si="2"/>
        <v>104970</v>
      </c>
      <c r="I88" s="11" t="s">
        <v>39</v>
      </c>
      <c r="J88" s="11" t="s">
        <v>127</v>
      </c>
      <c r="K88" s="15" t="s">
        <v>14</v>
      </c>
    </row>
    <row r="89" spans="1:11" x14ac:dyDescent="0.25">
      <c r="A89" s="11" t="s">
        <v>242</v>
      </c>
      <c r="B89" s="16">
        <v>45682</v>
      </c>
      <c r="C89" s="11" t="s">
        <v>152</v>
      </c>
      <c r="D89" s="11" t="s">
        <v>74</v>
      </c>
      <c r="E89" s="11" t="s">
        <v>75</v>
      </c>
      <c r="F89" s="11">
        <v>2</v>
      </c>
      <c r="G89" s="14">
        <v>12990</v>
      </c>
      <c r="H89" s="14">
        <f t="shared" si="2"/>
        <v>25980</v>
      </c>
      <c r="I89" s="11" t="s">
        <v>11</v>
      </c>
      <c r="J89" s="11" t="s">
        <v>174</v>
      </c>
      <c r="K89" s="15" t="s">
        <v>14</v>
      </c>
    </row>
    <row r="90" spans="1:11" x14ac:dyDescent="0.25">
      <c r="A90" s="11" t="s">
        <v>243</v>
      </c>
      <c r="B90" s="16">
        <v>45661</v>
      </c>
      <c r="C90" s="11" t="s">
        <v>122</v>
      </c>
      <c r="D90" s="11" t="s">
        <v>58</v>
      </c>
      <c r="E90" s="11" t="s">
        <v>59</v>
      </c>
      <c r="F90" s="11">
        <v>1</v>
      </c>
      <c r="G90" s="14">
        <v>7990</v>
      </c>
      <c r="H90" s="14">
        <f t="shared" si="2"/>
        <v>7990</v>
      </c>
      <c r="I90" s="11" t="s">
        <v>22</v>
      </c>
      <c r="J90" s="11" t="s">
        <v>127</v>
      </c>
      <c r="K90" s="15" t="s">
        <v>19</v>
      </c>
    </row>
    <row r="91" spans="1:11" x14ac:dyDescent="0.25">
      <c r="A91" s="11" t="s">
        <v>244</v>
      </c>
      <c r="B91" s="16">
        <v>45669</v>
      </c>
      <c r="C91" s="11" t="s">
        <v>136</v>
      </c>
      <c r="D91" s="11" t="s">
        <v>68</v>
      </c>
      <c r="E91" s="11" t="s">
        <v>69</v>
      </c>
      <c r="F91" s="11">
        <v>4</v>
      </c>
      <c r="G91" s="14">
        <v>49990</v>
      </c>
      <c r="H91" s="14">
        <f t="shared" si="2"/>
        <v>199960</v>
      </c>
      <c r="I91" s="11" t="s">
        <v>11</v>
      </c>
      <c r="J91" s="11" t="s">
        <v>150</v>
      </c>
      <c r="K91" s="15" t="s">
        <v>19</v>
      </c>
    </row>
    <row r="92" spans="1:11" x14ac:dyDescent="0.25">
      <c r="A92" s="11" t="s">
        <v>245</v>
      </c>
      <c r="B92" s="16">
        <v>45674</v>
      </c>
      <c r="C92" s="11" t="s">
        <v>125</v>
      </c>
      <c r="D92" s="11" t="s">
        <v>106</v>
      </c>
      <c r="E92" s="11" t="s">
        <v>205</v>
      </c>
      <c r="F92" s="11">
        <v>1</v>
      </c>
      <c r="G92" s="14">
        <v>12990</v>
      </c>
      <c r="H92" s="14">
        <f t="shared" si="2"/>
        <v>12990</v>
      </c>
      <c r="I92" s="11" t="s">
        <v>39</v>
      </c>
      <c r="J92" s="11" t="s">
        <v>141</v>
      </c>
      <c r="K92" s="15" t="s">
        <v>14</v>
      </c>
    </row>
    <row r="93" spans="1:11" x14ac:dyDescent="0.25">
      <c r="A93" s="11" t="s">
        <v>246</v>
      </c>
      <c r="B93" s="16">
        <v>45687</v>
      </c>
      <c r="C93" s="11" t="s">
        <v>129</v>
      </c>
      <c r="D93" s="11" t="s">
        <v>70</v>
      </c>
      <c r="E93" s="11" t="s">
        <v>71</v>
      </c>
      <c r="F93" s="11">
        <v>3</v>
      </c>
      <c r="G93" s="14">
        <v>39990</v>
      </c>
      <c r="H93" s="14">
        <f t="shared" si="2"/>
        <v>119970</v>
      </c>
      <c r="I93" s="11" t="s">
        <v>28</v>
      </c>
      <c r="J93" s="11" t="s">
        <v>130</v>
      </c>
      <c r="K93" s="15" t="s">
        <v>14</v>
      </c>
    </row>
    <row r="94" spans="1:11" x14ac:dyDescent="0.25">
      <c r="A94" s="11" t="s">
        <v>247</v>
      </c>
      <c r="B94" s="16">
        <v>45660</v>
      </c>
      <c r="C94" s="11" t="s">
        <v>210</v>
      </c>
      <c r="D94" s="11" t="s">
        <v>90</v>
      </c>
      <c r="E94" s="11" t="s">
        <v>202</v>
      </c>
      <c r="F94" s="11">
        <v>1</v>
      </c>
      <c r="G94" s="14">
        <v>6990</v>
      </c>
      <c r="H94" s="14">
        <f t="shared" si="2"/>
        <v>6990</v>
      </c>
      <c r="I94" s="11" t="s">
        <v>28</v>
      </c>
      <c r="J94" s="11" t="s">
        <v>133</v>
      </c>
      <c r="K94" s="15" t="s">
        <v>25</v>
      </c>
    </row>
    <row r="95" spans="1:11" x14ac:dyDescent="0.25">
      <c r="A95" s="11" t="s">
        <v>248</v>
      </c>
      <c r="B95" s="16">
        <v>45688</v>
      </c>
      <c r="C95" s="11" t="s">
        <v>238</v>
      </c>
      <c r="D95" s="11" t="s">
        <v>104</v>
      </c>
      <c r="E95" s="11" t="s">
        <v>105</v>
      </c>
      <c r="F95" s="11">
        <v>2</v>
      </c>
      <c r="G95" s="14">
        <v>6990</v>
      </c>
      <c r="H95" s="14">
        <f t="shared" si="2"/>
        <v>13980</v>
      </c>
      <c r="I95" s="11" t="s">
        <v>28</v>
      </c>
      <c r="J95" s="11" t="s">
        <v>127</v>
      </c>
      <c r="K95" s="15" t="s">
        <v>25</v>
      </c>
    </row>
    <row r="96" spans="1:11" x14ac:dyDescent="0.25">
      <c r="A96" s="11" t="s">
        <v>249</v>
      </c>
      <c r="B96" s="16">
        <v>45664</v>
      </c>
      <c r="C96" s="11" t="s">
        <v>168</v>
      </c>
      <c r="D96" s="11" t="s">
        <v>110</v>
      </c>
      <c r="E96" s="11" t="s">
        <v>187</v>
      </c>
      <c r="F96" s="11">
        <v>1</v>
      </c>
      <c r="G96" s="14">
        <v>8990</v>
      </c>
      <c r="H96" s="14">
        <f t="shared" si="2"/>
        <v>8990</v>
      </c>
      <c r="I96" s="11" t="s">
        <v>28</v>
      </c>
      <c r="J96" s="11" t="s">
        <v>174</v>
      </c>
      <c r="K96" s="15" t="s">
        <v>14</v>
      </c>
    </row>
    <row r="97" spans="1:11" x14ac:dyDescent="0.25">
      <c r="A97" s="11" t="s">
        <v>250</v>
      </c>
      <c r="B97" s="16">
        <v>45663</v>
      </c>
      <c r="C97" s="11" t="s">
        <v>125</v>
      </c>
      <c r="D97" s="11" t="s">
        <v>68</v>
      </c>
      <c r="E97" s="11" t="s">
        <v>69</v>
      </c>
      <c r="F97" s="11">
        <v>4</v>
      </c>
      <c r="G97" s="14">
        <v>49990</v>
      </c>
      <c r="H97" s="14">
        <f t="shared" si="2"/>
        <v>199960</v>
      </c>
      <c r="I97" s="11" t="s">
        <v>17</v>
      </c>
      <c r="J97" s="11" t="s">
        <v>133</v>
      </c>
      <c r="K97" s="15" t="s">
        <v>19</v>
      </c>
    </row>
    <row r="98" spans="1:11" x14ac:dyDescent="0.25">
      <c r="A98" s="11" t="s">
        <v>251</v>
      </c>
      <c r="B98" s="16">
        <v>45660</v>
      </c>
      <c r="C98" s="11" t="s">
        <v>166</v>
      </c>
      <c r="D98" s="11" t="s">
        <v>58</v>
      </c>
      <c r="E98" s="11" t="s">
        <v>59</v>
      </c>
      <c r="F98" s="11">
        <v>5</v>
      </c>
      <c r="G98" s="14">
        <v>7990</v>
      </c>
      <c r="H98" s="14">
        <f t="shared" si="2"/>
        <v>39950</v>
      </c>
      <c r="I98" s="11" t="s">
        <v>28</v>
      </c>
      <c r="J98" s="11" t="s">
        <v>170</v>
      </c>
      <c r="K98" s="15" t="s">
        <v>14</v>
      </c>
    </row>
    <row r="99" spans="1:11" x14ac:dyDescent="0.25">
      <c r="A99" s="11" t="s">
        <v>252</v>
      </c>
      <c r="B99" s="16">
        <v>45659</v>
      </c>
      <c r="C99" s="11" t="s">
        <v>125</v>
      </c>
      <c r="D99" s="11" t="s">
        <v>96</v>
      </c>
      <c r="E99" s="11" t="s">
        <v>97</v>
      </c>
      <c r="F99" s="11">
        <v>2</v>
      </c>
      <c r="G99" s="14">
        <v>24990</v>
      </c>
      <c r="H99" s="14">
        <f t="shared" ref="H99:H130" si="3">F99*G99</f>
        <v>49980</v>
      </c>
      <c r="I99" s="11" t="s">
        <v>22</v>
      </c>
      <c r="J99" s="11" t="s">
        <v>170</v>
      </c>
      <c r="K99" s="15" t="s">
        <v>14</v>
      </c>
    </row>
    <row r="100" spans="1:11" x14ac:dyDescent="0.25">
      <c r="A100" s="11" t="s">
        <v>253</v>
      </c>
      <c r="B100" s="16">
        <v>45675</v>
      </c>
      <c r="C100" s="11" t="s">
        <v>129</v>
      </c>
      <c r="D100" s="11" t="s">
        <v>52</v>
      </c>
      <c r="E100" s="11" t="s">
        <v>143</v>
      </c>
      <c r="F100" s="11">
        <v>2</v>
      </c>
      <c r="G100" s="14">
        <v>34990</v>
      </c>
      <c r="H100" s="14">
        <f t="shared" si="3"/>
        <v>69980</v>
      </c>
      <c r="I100" s="11" t="s">
        <v>22</v>
      </c>
      <c r="J100" s="11" t="s">
        <v>170</v>
      </c>
      <c r="K100" s="15" t="s">
        <v>14</v>
      </c>
    </row>
    <row r="101" spans="1:11" x14ac:dyDescent="0.25">
      <c r="A101" s="11" t="s">
        <v>254</v>
      </c>
      <c r="B101" s="16">
        <v>45671</v>
      </c>
      <c r="C101" s="11" t="s">
        <v>152</v>
      </c>
      <c r="D101" s="11" t="s">
        <v>82</v>
      </c>
      <c r="E101" s="11" t="s">
        <v>83</v>
      </c>
      <c r="F101" s="11">
        <v>1</v>
      </c>
      <c r="G101" s="14">
        <v>54990</v>
      </c>
      <c r="H101" s="14">
        <f t="shared" si="3"/>
        <v>54990</v>
      </c>
      <c r="I101" s="11" t="s">
        <v>28</v>
      </c>
      <c r="J101" s="11" t="s">
        <v>123</v>
      </c>
      <c r="K101" s="15" t="s">
        <v>14</v>
      </c>
    </row>
    <row r="102" spans="1:11" x14ac:dyDescent="0.25">
      <c r="A102" s="11" t="s">
        <v>255</v>
      </c>
      <c r="B102" s="16">
        <v>45663</v>
      </c>
      <c r="C102" s="11" t="s">
        <v>200</v>
      </c>
      <c r="D102" s="11" t="s">
        <v>86</v>
      </c>
      <c r="E102" s="11" t="s">
        <v>126</v>
      </c>
      <c r="F102" s="11">
        <v>2</v>
      </c>
      <c r="G102" s="14">
        <v>18990</v>
      </c>
      <c r="H102" s="14">
        <f t="shared" si="3"/>
        <v>37980</v>
      </c>
      <c r="I102" s="11" t="s">
        <v>11</v>
      </c>
      <c r="J102" s="11" t="s">
        <v>157</v>
      </c>
      <c r="K102" s="15" t="s">
        <v>14</v>
      </c>
    </row>
    <row r="103" spans="1:11" x14ac:dyDescent="0.25">
      <c r="A103" s="11" t="s">
        <v>256</v>
      </c>
      <c r="B103" s="16">
        <v>45688</v>
      </c>
      <c r="C103" s="11" t="s">
        <v>152</v>
      </c>
      <c r="D103" s="11" t="s">
        <v>76</v>
      </c>
      <c r="E103" s="11" t="s">
        <v>77</v>
      </c>
      <c r="F103" s="11">
        <v>5</v>
      </c>
      <c r="G103" s="14">
        <v>5490</v>
      </c>
      <c r="H103" s="14">
        <f t="shared" si="3"/>
        <v>27450</v>
      </c>
      <c r="I103" s="11" t="s">
        <v>39</v>
      </c>
      <c r="J103" s="11" t="s">
        <v>133</v>
      </c>
      <c r="K103" s="15" t="s">
        <v>36</v>
      </c>
    </row>
    <row r="104" spans="1:11" x14ac:dyDescent="0.25">
      <c r="A104" s="11" t="s">
        <v>257</v>
      </c>
      <c r="B104" s="16">
        <v>45688</v>
      </c>
      <c r="C104" s="11" t="s">
        <v>154</v>
      </c>
      <c r="D104" s="11" t="s">
        <v>56</v>
      </c>
      <c r="E104" s="11" t="s">
        <v>57</v>
      </c>
      <c r="F104" s="11">
        <v>2</v>
      </c>
      <c r="G104" s="14">
        <v>24990</v>
      </c>
      <c r="H104" s="14">
        <f t="shared" si="3"/>
        <v>49980</v>
      </c>
      <c r="I104" s="11" t="s">
        <v>11</v>
      </c>
      <c r="J104" s="11" t="s">
        <v>157</v>
      </c>
      <c r="K104" s="15" t="s">
        <v>14</v>
      </c>
    </row>
    <row r="105" spans="1:11" x14ac:dyDescent="0.25">
      <c r="A105" s="11" t="s">
        <v>258</v>
      </c>
      <c r="B105" s="16">
        <v>45688</v>
      </c>
      <c r="C105" s="11" t="s">
        <v>125</v>
      </c>
      <c r="D105" s="11" t="s">
        <v>110</v>
      </c>
      <c r="E105" s="11" t="s">
        <v>187</v>
      </c>
      <c r="F105" s="11">
        <v>3</v>
      </c>
      <c r="G105" s="14">
        <v>8990</v>
      </c>
      <c r="H105" s="14">
        <f t="shared" si="3"/>
        <v>26970</v>
      </c>
      <c r="I105" s="11" t="s">
        <v>39</v>
      </c>
      <c r="J105" s="11" t="s">
        <v>127</v>
      </c>
      <c r="K105" s="15" t="s">
        <v>14</v>
      </c>
    </row>
    <row r="106" spans="1:11" x14ac:dyDescent="0.25">
      <c r="A106" s="11" t="s">
        <v>259</v>
      </c>
      <c r="B106" s="16">
        <v>45679</v>
      </c>
      <c r="C106" s="11" t="s">
        <v>200</v>
      </c>
      <c r="D106" s="11" t="s">
        <v>60</v>
      </c>
      <c r="E106" s="11" t="s">
        <v>61</v>
      </c>
      <c r="F106" s="11">
        <v>5</v>
      </c>
      <c r="G106" s="14">
        <v>3490</v>
      </c>
      <c r="H106" s="14">
        <f t="shared" si="3"/>
        <v>17450</v>
      </c>
      <c r="I106" s="11" t="s">
        <v>11</v>
      </c>
      <c r="J106" s="11" t="s">
        <v>127</v>
      </c>
      <c r="K106" s="15" t="s">
        <v>25</v>
      </c>
    </row>
    <row r="107" spans="1:11" x14ac:dyDescent="0.25">
      <c r="A107" s="11" t="s">
        <v>260</v>
      </c>
      <c r="B107" s="16">
        <v>45683</v>
      </c>
      <c r="C107" s="11" t="s">
        <v>140</v>
      </c>
      <c r="D107" s="11" t="s">
        <v>90</v>
      </c>
      <c r="E107" s="11" t="s">
        <v>202</v>
      </c>
      <c r="F107" s="11">
        <v>4</v>
      </c>
      <c r="G107" s="14">
        <v>6990</v>
      </c>
      <c r="H107" s="14">
        <f t="shared" si="3"/>
        <v>27960</v>
      </c>
      <c r="I107" s="11" t="s">
        <v>22</v>
      </c>
      <c r="J107" s="11" t="s">
        <v>174</v>
      </c>
      <c r="K107" s="15" t="s">
        <v>25</v>
      </c>
    </row>
    <row r="108" spans="1:11" x14ac:dyDescent="0.25">
      <c r="A108" s="11" t="s">
        <v>261</v>
      </c>
      <c r="B108" s="16">
        <v>45671</v>
      </c>
      <c r="C108" s="11" t="s">
        <v>210</v>
      </c>
      <c r="D108" s="11" t="s">
        <v>56</v>
      </c>
      <c r="E108" s="11" t="s">
        <v>57</v>
      </c>
      <c r="F108" s="11">
        <v>1</v>
      </c>
      <c r="G108" s="14">
        <v>24990</v>
      </c>
      <c r="H108" s="14">
        <f t="shared" si="3"/>
        <v>24990</v>
      </c>
      <c r="I108" s="11" t="s">
        <v>17</v>
      </c>
      <c r="J108" s="11" t="s">
        <v>174</v>
      </c>
      <c r="K108" s="15" t="s">
        <v>14</v>
      </c>
    </row>
    <row r="109" spans="1:11" x14ac:dyDescent="0.25">
      <c r="A109" s="11" t="s">
        <v>262</v>
      </c>
      <c r="B109" s="16">
        <v>45683</v>
      </c>
      <c r="C109" s="11" t="s">
        <v>173</v>
      </c>
      <c r="D109" s="11" t="s">
        <v>70</v>
      </c>
      <c r="E109" s="11" t="s">
        <v>71</v>
      </c>
      <c r="F109" s="11">
        <v>3</v>
      </c>
      <c r="G109" s="14">
        <v>39990</v>
      </c>
      <c r="H109" s="14">
        <f t="shared" si="3"/>
        <v>119970</v>
      </c>
      <c r="I109" s="11" t="s">
        <v>33</v>
      </c>
      <c r="J109" s="11" t="s">
        <v>133</v>
      </c>
      <c r="K109" s="15" t="s">
        <v>19</v>
      </c>
    </row>
    <row r="110" spans="1:11" x14ac:dyDescent="0.25">
      <c r="A110" s="11" t="s">
        <v>263</v>
      </c>
      <c r="B110" s="16">
        <v>45667</v>
      </c>
      <c r="C110" s="11" t="s">
        <v>132</v>
      </c>
      <c r="D110" s="11" t="s">
        <v>106</v>
      </c>
      <c r="E110" s="11" t="s">
        <v>205</v>
      </c>
      <c r="F110" s="11">
        <v>2</v>
      </c>
      <c r="G110" s="14">
        <v>12990</v>
      </c>
      <c r="H110" s="14">
        <f t="shared" si="3"/>
        <v>25980</v>
      </c>
      <c r="I110" s="11" t="s">
        <v>33</v>
      </c>
      <c r="J110" s="11" t="s">
        <v>141</v>
      </c>
      <c r="K110" s="15" t="s">
        <v>36</v>
      </c>
    </row>
    <row r="111" spans="1:11" x14ac:dyDescent="0.25">
      <c r="A111" s="11" t="s">
        <v>264</v>
      </c>
      <c r="B111" s="16">
        <v>45660</v>
      </c>
      <c r="C111" s="11" t="s">
        <v>166</v>
      </c>
      <c r="D111" s="11" t="s">
        <v>108</v>
      </c>
      <c r="E111" s="11" t="s">
        <v>109</v>
      </c>
      <c r="F111" s="11">
        <v>5</v>
      </c>
      <c r="G111" s="14">
        <v>64990</v>
      </c>
      <c r="H111" s="14">
        <f t="shared" si="3"/>
        <v>324950</v>
      </c>
      <c r="I111" s="11" t="s">
        <v>33</v>
      </c>
      <c r="J111" s="11" t="s">
        <v>174</v>
      </c>
      <c r="K111" s="15" t="s">
        <v>36</v>
      </c>
    </row>
    <row r="112" spans="1:11" x14ac:dyDescent="0.25">
      <c r="A112" s="11" t="s">
        <v>265</v>
      </c>
      <c r="B112" s="16">
        <v>45682</v>
      </c>
      <c r="C112" s="11" t="s">
        <v>266</v>
      </c>
      <c r="D112" s="11" t="s">
        <v>94</v>
      </c>
      <c r="E112" s="11" t="s">
        <v>95</v>
      </c>
      <c r="F112" s="11">
        <v>5</v>
      </c>
      <c r="G112" s="14">
        <v>9990</v>
      </c>
      <c r="H112" s="14">
        <f t="shared" si="3"/>
        <v>49950</v>
      </c>
      <c r="I112" s="11" t="s">
        <v>11</v>
      </c>
      <c r="J112" s="11" t="s">
        <v>157</v>
      </c>
      <c r="K112" s="15" t="s">
        <v>14</v>
      </c>
    </row>
    <row r="113" spans="1:11" x14ac:dyDescent="0.25">
      <c r="A113" s="11" t="s">
        <v>267</v>
      </c>
      <c r="B113" s="16">
        <v>45678</v>
      </c>
      <c r="C113" s="11" t="s">
        <v>125</v>
      </c>
      <c r="D113" s="11" t="s">
        <v>82</v>
      </c>
      <c r="E113" s="11" t="s">
        <v>83</v>
      </c>
      <c r="F113" s="11">
        <v>1</v>
      </c>
      <c r="G113" s="14">
        <v>54990</v>
      </c>
      <c r="H113" s="14">
        <f t="shared" si="3"/>
        <v>54990</v>
      </c>
      <c r="I113" s="11" t="s">
        <v>22</v>
      </c>
      <c r="J113" s="11" t="s">
        <v>170</v>
      </c>
      <c r="K113" s="15" t="s">
        <v>30</v>
      </c>
    </row>
    <row r="114" spans="1:11" x14ac:dyDescent="0.25">
      <c r="A114" s="11" t="s">
        <v>268</v>
      </c>
      <c r="B114" s="16">
        <v>45669</v>
      </c>
      <c r="C114" s="11" t="s">
        <v>156</v>
      </c>
      <c r="D114" s="11" t="s">
        <v>104</v>
      </c>
      <c r="E114" s="11" t="s">
        <v>105</v>
      </c>
      <c r="F114" s="11">
        <v>5</v>
      </c>
      <c r="G114" s="14">
        <v>6990</v>
      </c>
      <c r="H114" s="14">
        <f t="shared" si="3"/>
        <v>34950</v>
      </c>
      <c r="I114" s="11" t="s">
        <v>33</v>
      </c>
      <c r="J114" s="11" t="s">
        <v>150</v>
      </c>
      <c r="K114" s="15" t="s">
        <v>25</v>
      </c>
    </row>
    <row r="115" spans="1:11" x14ac:dyDescent="0.25">
      <c r="A115" s="11" t="s">
        <v>269</v>
      </c>
      <c r="B115" s="16">
        <v>45664</v>
      </c>
      <c r="C115" s="11" t="s">
        <v>238</v>
      </c>
      <c r="D115" s="11" t="s">
        <v>54</v>
      </c>
      <c r="E115" s="11" t="s">
        <v>55</v>
      </c>
      <c r="F115" s="11">
        <v>3</v>
      </c>
      <c r="G115" s="14">
        <v>54990</v>
      </c>
      <c r="H115" s="14">
        <f t="shared" si="3"/>
        <v>164970</v>
      </c>
      <c r="I115" s="11" t="s">
        <v>11</v>
      </c>
      <c r="J115" s="11" t="s">
        <v>150</v>
      </c>
      <c r="K115" s="15" t="s">
        <v>14</v>
      </c>
    </row>
    <row r="116" spans="1:11" x14ac:dyDescent="0.25">
      <c r="A116" s="11" t="s">
        <v>270</v>
      </c>
      <c r="B116" s="16">
        <v>45673</v>
      </c>
      <c r="C116" s="11" t="s">
        <v>154</v>
      </c>
      <c r="D116" s="11" t="s">
        <v>100</v>
      </c>
      <c r="E116" s="11" t="s">
        <v>101</v>
      </c>
      <c r="F116" s="11">
        <v>4</v>
      </c>
      <c r="G116" s="14">
        <v>64990</v>
      </c>
      <c r="H116" s="14">
        <f t="shared" si="3"/>
        <v>259960</v>
      </c>
      <c r="I116" s="11" t="s">
        <v>39</v>
      </c>
      <c r="J116" s="11" t="s">
        <v>174</v>
      </c>
      <c r="K116" s="15" t="s">
        <v>14</v>
      </c>
    </row>
    <row r="117" spans="1:11" x14ac:dyDescent="0.25">
      <c r="A117" s="11" t="s">
        <v>271</v>
      </c>
      <c r="B117" s="16">
        <v>45679</v>
      </c>
      <c r="C117" s="11" t="s">
        <v>266</v>
      </c>
      <c r="D117" s="11" t="s">
        <v>56</v>
      </c>
      <c r="E117" s="11" t="s">
        <v>57</v>
      </c>
      <c r="F117" s="11">
        <v>2</v>
      </c>
      <c r="G117" s="14">
        <v>24990</v>
      </c>
      <c r="H117" s="14">
        <f t="shared" si="3"/>
        <v>49980</v>
      </c>
      <c r="I117" s="11" t="s">
        <v>33</v>
      </c>
      <c r="J117" s="11" t="s">
        <v>133</v>
      </c>
      <c r="K117" s="15" t="s">
        <v>14</v>
      </c>
    </row>
    <row r="118" spans="1:11" x14ac:dyDescent="0.25">
      <c r="A118" s="11" t="s">
        <v>272</v>
      </c>
      <c r="B118" s="16">
        <v>45674</v>
      </c>
      <c r="C118" s="11" t="s">
        <v>210</v>
      </c>
      <c r="D118" s="11" t="s">
        <v>100</v>
      </c>
      <c r="E118" s="11" t="s">
        <v>101</v>
      </c>
      <c r="F118" s="11">
        <v>4</v>
      </c>
      <c r="G118" s="14">
        <v>64990</v>
      </c>
      <c r="H118" s="14">
        <f t="shared" si="3"/>
        <v>259960</v>
      </c>
      <c r="I118" s="11" t="s">
        <v>33</v>
      </c>
      <c r="J118" s="11" t="s">
        <v>130</v>
      </c>
      <c r="K118" s="15" t="s">
        <v>36</v>
      </c>
    </row>
    <row r="119" spans="1:11" x14ac:dyDescent="0.25">
      <c r="A119" s="11" t="s">
        <v>273</v>
      </c>
      <c r="B119" s="16">
        <v>45673</v>
      </c>
      <c r="C119" s="11" t="s">
        <v>129</v>
      </c>
      <c r="D119" s="11" t="s">
        <v>72</v>
      </c>
      <c r="E119" s="11" t="s">
        <v>73</v>
      </c>
      <c r="F119" s="11">
        <v>5</v>
      </c>
      <c r="G119" s="14">
        <v>5990</v>
      </c>
      <c r="H119" s="14">
        <f t="shared" si="3"/>
        <v>29950</v>
      </c>
      <c r="I119" s="11" t="s">
        <v>39</v>
      </c>
      <c r="J119" s="11" t="s">
        <v>133</v>
      </c>
      <c r="K119" s="15" t="s">
        <v>19</v>
      </c>
    </row>
    <row r="120" spans="1:11" x14ac:dyDescent="0.25">
      <c r="A120" s="11" t="s">
        <v>274</v>
      </c>
      <c r="B120" s="16">
        <v>45668</v>
      </c>
      <c r="C120" s="11" t="s">
        <v>140</v>
      </c>
      <c r="D120" s="11" t="s">
        <v>62</v>
      </c>
      <c r="E120" s="11" t="s">
        <v>63</v>
      </c>
      <c r="F120" s="11">
        <v>2</v>
      </c>
      <c r="G120" s="14">
        <v>9990</v>
      </c>
      <c r="H120" s="14">
        <f t="shared" si="3"/>
        <v>19980</v>
      </c>
      <c r="I120" s="11" t="s">
        <v>11</v>
      </c>
      <c r="J120" s="11" t="s">
        <v>127</v>
      </c>
      <c r="K120" s="15" t="s">
        <v>36</v>
      </c>
    </row>
    <row r="121" spans="1:11" x14ac:dyDescent="0.25">
      <c r="A121" s="11" t="s">
        <v>275</v>
      </c>
      <c r="B121" s="16">
        <v>45680</v>
      </c>
      <c r="C121" s="11" t="s">
        <v>136</v>
      </c>
      <c r="D121" s="11" t="s">
        <v>74</v>
      </c>
      <c r="E121" s="11" t="s">
        <v>75</v>
      </c>
      <c r="F121" s="11">
        <v>1</v>
      </c>
      <c r="G121" s="14">
        <v>12990</v>
      </c>
      <c r="H121" s="14">
        <f t="shared" si="3"/>
        <v>12990</v>
      </c>
      <c r="I121" s="11" t="s">
        <v>17</v>
      </c>
      <c r="J121" s="11" t="s">
        <v>174</v>
      </c>
      <c r="K121" s="15" t="s">
        <v>14</v>
      </c>
    </row>
    <row r="122" spans="1:11" x14ac:dyDescent="0.25">
      <c r="A122" s="11" t="s">
        <v>276</v>
      </c>
      <c r="B122" s="16">
        <v>45679</v>
      </c>
      <c r="C122" s="11" t="s">
        <v>185</v>
      </c>
      <c r="D122" s="11" t="s">
        <v>98</v>
      </c>
      <c r="E122" s="11" t="s">
        <v>99</v>
      </c>
      <c r="F122" s="11">
        <v>2</v>
      </c>
      <c r="G122" s="14">
        <v>4990</v>
      </c>
      <c r="H122" s="14">
        <f t="shared" si="3"/>
        <v>9980</v>
      </c>
      <c r="I122" s="11" t="s">
        <v>33</v>
      </c>
      <c r="J122" s="11" t="s">
        <v>130</v>
      </c>
      <c r="K122" s="15" t="s">
        <v>36</v>
      </c>
    </row>
    <row r="123" spans="1:11" x14ac:dyDescent="0.25">
      <c r="A123" s="11" t="s">
        <v>277</v>
      </c>
      <c r="B123" s="16">
        <v>45688</v>
      </c>
      <c r="C123" s="11" t="s">
        <v>238</v>
      </c>
      <c r="D123" s="11" t="s">
        <v>100</v>
      </c>
      <c r="E123" s="11" t="s">
        <v>101</v>
      </c>
      <c r="F123" s="11">
        <v>4</v>
      </c>
      <c r="G123" s="14">
        <v>64990</v>
      </c>
      <c r="H123" s="14">
        <f t="shared" si="3"/>
        <v>259960</v>
      </c>
      <c r="I123" s="11" t="s">
        <v>33</v>
      </c>
      <c r="J123" s="11" t="s">
        <v>127</v>
      </c>
      <c r="K123" s="15" t="s">
        <v>30</v>
      </c>
    </row>
    <row r="124" spans="1:11" x14ac:dyDescent="0.25">
      <c r="A124" s="11" t="s">
        <v>278</v>
      </c>
      <c r="B124" s="16">
        <v>45662</v>
      </c>
      <c r="C124" s="11" t="s">
        <v>122</v>
      </c>
      <c r="D124" s="11" t="s">
        <v>74</v>
      </c>
      <c r="E124" s="11" t="s">
        <v>75</v>
      </c>
      <c r="F124" s="11">
        <v>5</v>
      </c>
      <c r="G124" s="14">
        <v>12990</v>
      </c>
      <c r="H124" s="14">
        <f t="shared" si="3"/>
        <v>64950</v>
      </c>
      <c r="I124" s="11" t="s">
        <v>39</v>
      </c>
      <c r="J124" s="11" t="s">
        <v>157</v>
      </c>
      <c r="K124" s="15" t="s">
        <v>14</v>
      </c>
    </row>
    <row r="125" spans="1:11" x14ac:dyDescent="0.25">
      <c r="A125" s="11" t="s">
        <v>279</v>
      </c>
      <c r="B125" s="16">
        <v>45660</v>
      </c>
      <c r="C125" s="11" t="s">
        <v>132</v>
      </c>
      <c r="D125" s="11" t="s">
        <v>98</v>
      </c>
      <c r="E125" s="11" t="s">
        <v>99</v>
      </c>
      <c r="F125" s="11">
        <v>4</v>
      </c>
      <c r="G125" s="14">
        <v>4990</v>
      </c>
      <c r="H125" s="14">
        <f t="shared" si="3"/>
        <v>19960</v>
      </c>
      <c r="I125" s="11" t="s">
        <v>28</v>
      </c>
      <c r="J125" s="11" t="s">
        <v>138</v>
      </c>
      <c r="K125" s="15" t="s">
        <v>14</v>
      </c>
    </row>
    <row r="126" spans="1:11" x14ac:dyDescent="0.25">
      <c r="A126" s="11" t="s">
        <v>280</v>
      </c>
      <c r="B126" s="16">
        <v>45678</v>
      </c>
      <c r="C126" s="11" t="s">
        <v>132</v>
      </c>
      <c r="D126" s="11" t="s">
        <v>106</v>
      </c>
      <c r="E126" s="11" t="s">
        <v>205</v>
      </c>
      <c r="F126" s="11">
        <v>4</v>
      </c>
      <c r="G126" s="14">
        <v>12990</v>
      </c>
      <c r="H126" s="14">
        <f t="shared" si="3"/>
        <v>51960</v>
      </c>
      <c r="I126" s="11" t="s">
        <v>39</v>
      </c>
      <c r="J126" s="11" t="s">
        <v>123</v>
      </c>
      <c r="K126" s="15" t="s">
        <v>25</v>
      </c>
    </row>
    <row r="127" spans="1:11" x14ac:dyDescent="0.25">
      <c r="A127" s="11" t="s">
        <v>281</v>
      </c>
      <c r="B127" s="16">
        <v>45672</v>
      </c>
      <c r="C127" s="11" t="s">
        <v>160</v>
      </c>
      <c r="D127" s="11" t="s">
        <v>52</v>
      </c>
      <c r="E127" s="11" t="s">
        <v>143</v>
      </c>
      <c r="F127" s="11">
        <v>1</v>
      </c>
      <c r="G127" s="14">
        <v>34990</v>
      </c>
      <c r="H127" s="14">
        <f t="shared" si="3"/>
        <v>34990</v>
      </c>
      <c r="I127" s="11" t="s">
        <v>11</v>
      </c>
      <c r="J127" s="11" t="s">
        <v>138</v>
      </c>
      <c r="K127" s="15" t="s">
        <v>25</v>
      </c>
    </row>
    <row r="128" spans="1:11" x14ac:dyDescent="0.25">
      <c r="A128" s="11" t="s">
        <v>282</v>
      </c>
      <c r="B128" s="16">
        <v>45668</v>
      </c>
      <c r="C128" s="11" t="s">
        <v>168</v>
      </c>
      <c r="D128" s="11" t="s">
        <v>96</v>
      </c>
      <c r="E128" s="11" t="s">
        <v>97</v>
      </c>
      <c r="F128" s="11">
        <v>5</v>
      </c>
      <c r="G128" s="14">
        <v>24990</v>
      </c>
      <c r="H128" s="14">
        <f t="shared" si="3"/>
        <v>124950</v>
      </c>
      <c r="I128" s="11" t="s">
        <v>39</v>
      </c>
      <c r="J128" s="11" t="s">
        <v>141</v>
      </c>
      <c r="K128" s="15" t="s">
        <v>30</v>
      </c>
    </row>
    <row r="129" spans="1:11" x14ac:dyDescent="0.25">
      <c r="A129" s="11" t="s">
        <v>283</v>
      </c>
      <c r="B129" s="16">
        <v>45681</v>
      </c>
      <c r="C129" s="11" t="s">
        <v>173</v>
      </c>
      <c r="D129" s="11" t="s">
        <v>96</v>
      </c>
      <c r="E129" s="11" t="s">
        <v>97</v>
      </c>
      <c r="F129" s="11">
        <v>3</v>
      </c>
      <c r="G129" s="14">
        <v>24990</v>
      </c>
      <c r="H129" s="14">
        <f t="shared" si="3"/>
        <v>74970</v>
      </c>
      <c r="I129" s="11" t="s">
        <v>39</v>
      </c>
      <c r="J129" s="11" t="s">
        <v>130</v>
      </c>
      <c r="K129" s="15" t="s">
        <v>14</v>
      </c>
    </row>
    <row r="130" spans="1:11" x14ac:dyDescent="0.25">
      <c r="A130" s="11" t="s">
        <v>284</v>
      </c>
      <c r="B130" s="16">
        <v>45663</v>
      </c>
      <c r="C130" s="11" t="s">
        <v>136</v>
      </c>
      <c r="D130" s="11" t="s">
        <v>92</v>
      </c>
      <c r="E130" s="11" t="s">
        <v>93</v>
      </c>
      <c r="F130" s="11">
        <v>4</v>
      </c>
      <c r="G130" s="14">
        <v>13990</v>
      </c>
      <c r="H130" s="14">
        <f t="shared" si="3"/>
        <v>55960</v>
      </c>
      <c r="I130" s="11" t="s">
        <v>17</v>
      </c>
      <c r="J130" s="11" t="s">
        <v>157</v>
      </c>
      <c r="K130" s="15" t="s">
        <v>25</v>
      </c>
    </row>
    <row r="131" spans="1:11" x14ac:dyDescent="0.25">
      <c r="A131" s="11" t="s">
        <v>285</v>
      </c>
      <c r="B131" s="16">
        <v>45678</v>
      </c>
      <c r="C131" s="11" t="s">
        <v>166</v>
      </c>
      <c r="D131" s="11" t="s">
        <v>74</v>
      </c>
      <c r="E131" s="11" t="s">
        <v>75</v>
      </c>
      <c r="F131" s="11">
        <v>2</v>
      </c>
      <c r="G131" s="14">
        <v>12990</v>
      </c>
      <c r="H131" s="14">
        <f t="shared" ref="H131:H162" si="4">F131*G131</f>
        <v>25980</v>
      </c>
      <c r="I131" s="11" t="s">
        <v>22</v>
      </c>
      <c r="J131" s="11" t="s">
        <v>138</v>
      </c>
      <c r="K131" s="15" t="s">
        <v>36</v>
      </c>
    </row>
    <row r="132" spans="1:11" x14ac:dyDescent="0.25">
      <c r="A132" s="11" t="s">
        <v>286</v>
      </c>
      <c r="B132" s="16">
        <v>45667</v>
      </c>
      <c r="C132" s="11" t="s">
        <v>149</v>
      </c>
      <c r="D132" s="11" t="s">
        <v>74</v>
      </c>
      <c r="E132" s="11" t="s">
        <v>75</v>
      </c>
      <c r="F132" s="11">
        <v>2</v>
      </c>
      <c r="G132" s="14">
        <v>12990</v>
      </c>
      <c r="H132" s="14">
        <f t="shared" si="4"/>
        <v>25980</v>
      </c>
      <c r="I132" s="11" t="s">
        <v>11</v>
      </c>
      <c r="J132" s="11" t="s">
        <v>123</v>
      </c>
      <c r="K132" s="15" t="s">
        <v>36</v>
      </c>
    </row>
    <row r="133" spans="1:11" x14ac:dyDescent="0.25">
      <c r="A133" s="11" t="s">
        <v>287</v>
      </c>
      <c r="B133" s="16">
        <v>45662</v>
      </c>
      <c r="C133" s="11" t="s">
        <v>146</v>
      </c>
      <c r="D133" s="11" t="s">
        <v>52</v>
      </c>
      <c r="E133" s="11" t="s">
        <v>143</v>
      </c>
      <c r="F133" s="11">
        <v>5</v>
      </c>
      <c r="G133" s="14">
        <v>34990</v>
      </c>
      <c r="H133" s="14">
        <f t="shared" si="4"/>
        <v>174950</v>
      </c>
      <c r="I133" s="11" t="s">
        <v>28</v>
      </c>
      <c r="J133" s="11" t="s">
        <v>141</v>
      </c>
      <c r="K133" s="15" t="s">
        <v>25</v>
      </c>
    </row>
    <row r="134" spans="1:11" x14ac:dyDescent="0.25">
      <c r="A134" s="11" t="s">
        <v>288</v>
      </c>
      <c r="B134" s="16">
        <v>45670</v>
      </c>
      <c r="C134" s="11" t="s">
        <v>140</v>
      </c>
      <c r="D134" s="11" t="s">
        <v>56</v>
      </c>
      <c r="E134" s="11" t="s">
        <v>57</v>
      </c>
      <c r="F134" s="11">
        <v>2</v>
      </c>
      <c r="G134" s="14">
        <v>24990</v>
      </c>
      <c r="H134" s="14">
        <f t="shared" si="4"/>
        <v>49980</v>
      </c>
      <c r="I134" s="11" t="s">
        <v>17</v>
      </c>
      <c r="J134" s="11" t="s">
        <v>138</v>
      </c>
      <c r="K134" s="15" t="s">
        <v>14</v>
      </c>
    </row>
    <row r="135" spans="1:11" x14ac:dyDescent="0.25">
      <c r="A135" s="11" t="s">
        <v>289</v>
      </c>
      <c r="B135" s="16">
        <v>45668</v>
      </c>
      <c r="C135" s="11" t="s">
        <v>132</v>
      </c>
      <c r="D135" s="11" t="s">
        <v>98</v>
      </c>
      <c r="E135" s="11" t="s">
        <v>99</v>
      </c>
      <c r="F135" s="11">
        <v>4</v>
      </c>
      <c r="G135" s="14">
        <v>4990</v>
      </c>
      <c r="H135" s="14">
        <f t="shared" si="4"/>
        <v>19960</v>
      </c>
      <c r="I135" s="11" t="s">
        <v>11</v>
      </c>
      <c r="J135" s="11" t="s">
        <v>133</v>
      </c>
      <c r="K135" s="15" t="s">
        <v>14</v>
      </c>
    </row>
    <row r="136" spans="1:11" x14ac:dyDescent="0.25">
      <c r="A136" s="11" t="s">
        <v>290</v>
      </c>
      <c r="B136" s="16">
        <v>45669</v>
      </c>
      <c r="C136" s="11" t="s">
        <v>146</v>
      </c>
      <c r="D136" s="11" t="s">
        <v>76</v>
      </c>
      <c r="E136" s="11" t="s">
        <v>77</v>
      </c>
      <c r="F136" s="11">
        <v>1</v>
      </c>
      <c r="G136" s="14">
        <v>5490</v>
      </c>
      <c r="H136" s="14">
        <f t="shared" si="4"/>
        <v>5490</v>
      </c>
      <c r="I136" s="11" t="s">
        <v>17</v>
      </c>
      <c r="J136" s="11" t="s">
        <v>170</v>
      </c>
      <c r="K136" s="15" t="s">
        <v>14</v>
      </c>
    </row>
    <row r="137" spans="1:11" x14ac:dyDescent="0.25">
      <c r="A137" s="11" t="s">
        <v>291</v>
      </c>
      <c r="B137" s="16">
        <v>45680</v>
      </c>
      <c r="C137" s="11" t="s">
        <v>210</v>
      </c>
      <c r="D137" s="11" t="s">
        <v>74</v>
      </c>
      <c r="E137" s="11" t="s">
        <v>75</v>
      </c>
      <c r="F137" s="11">
        <v>2</v>
      </c>
      <c r="G137" s="14">
        <v>12990</v>
      </c>
      <c r="H137" s="14">
        <f t="shared" si="4"/>
        <v>25980</v>
      </c>
      <c r="I137" s="11" t="s">
        <v>17</v>
      </c>
      <c r="J137" s="11" t="s">
        <v>123</v>
      </c>
      <c r="K137" s="15" t="s">
        <v>14</v>
      </c>
    </row>
    <row r="138" spans="1:11" x14ac:dyDescent="0.25">
      <c r="A138" s="11" t="s">
        <v>292</v>
      </c>
      <c r="B138" s="16">
        <v>45671</v>
      </c>
      <c r="C138" s="11" t="s">
        <v>160</v>
      </c>
      <c r="D138" s="11" t="s">
        <v>110</v>
      </c>
      <c r="E138" s="11" t="s">
        <v>187</v>
      </c>
      <c r="F138" s="11">
        <v>4</v>
      </c>
      <c r="G138" s="14">
        <v>8990</v>
      </c>
      <c r="H138" s="14">
        <f t="shared" si="4"/>
        <v>35960</v>
      </c>
      <c r="I138" s="11" t="s">
        <v>28</v>
      </c>
      <c r="J138" s="11" t="s">
        <v>127</v>
      </c>
      <c r="K138" s="15" t="s">
        <v>25</v>
      </c>
    </row>
    <row r="139" spans="1:11" x14ac:dyDescent="0.25">
      <c r="A139" s="11" t="s">
        <v>293</v>
      </c>
      <c r="B139" s="16">
        <v>45659</v>
      </c>
      <c r="C139" s="11" t="s">
        <v>210</v>
      </c>
      <c r="D139" s="11" t="s">
        <v>110</v>
      </c>
      <c r="E139" s="11" t="s">
        <v>187</v>
      </c>
      <c r="F139" s="11">
        <v>3</v>
      </c>
      <c r="G139" s="14">
        <v>8990</v>
      </c>
      <c r="H139" s="14">
        <f t="shared" si="4"/>
        <v>26970</v>
      </c>
      <c r="I139" s="11" t="s">
        <v>33</v>
      </c>
      <c r="J139" s="11" t="s">
        <v>133</v>
      </c>
      <c r="K139" s="15" t="s">
        <v>25</v>
      </c>
    </row>
    <row r="140" spans="1:11" x14ac:dyDescent="0.25">
      <c r="A140" s="11" t="s">
        <v>294</v>
      </c>
      <c r="B140" s="16">
        <v>45684</v>
      </c>
      <c r="C140" s="11" t="s">
        <v>129</v>
      </c>
      <c r="D140" s="11" t="s">
        <v>74</v>
      </c>
      <c r="E140" s="11" t="s">
        <v>75</v>
      </c>
      <c r="F140" s="11">
        <v>3</v>
      </c>
      <c r="G140" s="14">
        <v>12990</v>
      </c>
      <c r="H140" s="14">
        <f t="shared" si="4"/>
        <v>38970</v>
      </c>
      <c r="I140" s="11" t="s">
        <v>11</v>
      </c>
      <c r="J140" s="11" t="s">
        <v>138</v>
      </c>
      <c r="K140" s="15" t="s">
        <v>14</v>
      </c>
    </row>
    <row r="141" spans="1:11" x14ac:dyDescent="0.25">
      <c r="A141" s="11" t="s">
        <v>295</v>
      </c>
      <c r="B141" s="16">
        <v>45663</v>
      </c>
      <c r="C141" s="11" t="s">
        <v>210</v>
      </c>
      <c r="D141" s="11" t="s">
        <v>52</v>
      </c>
      <c r="E141" s="11" t="s">
        <v>143</v>
      </c>
      <c r="F141" s="11">
        <v>4</v>
      </c>
      <c r="G141" s="14">
        <v>34990</v>
      </c>
      <c r="H141" s="14">
        <f t="shared" si="4"/>
        <v>139960</v>
      </c>
      <c r="I141" s="11" t="s">
        <v>28</v>
      </c>
      <c r="J141" s="11" t="s">
        <v>141</v>
      </c>
      <c r="K141" s="15" t="s">
        <v>25</v>
      </c>
    </row>
    <row r="142" spans="1:11" x14ac:dyDescent="0.25">
      <c r="A142" s="11" t="s">
        <v>296</v>
      </c>
      <c r="B142" s="16">
        <v>45659</v>
      </c>
      <c r="C142" s="11" t="s">
        <v>152</v>
      </c>
      <c r="D142" s="11" t="s">
        <v>102</v>
      </c>
      <c r="E142" s="11" t="s">
        <v>103</v>
      </c>
      <c r="F142" s="11">
        <v>3</v>
      </c>
      <c r="G142" s="14">
        <v>99990</v>
      </c>
      <c r="H142" s="14">
        <f t="shared" si="4"/>
        <v>299970</v>
      </c>
      <c r="I142" s="11" t="s">
        <v>22</v>
      </c>
      <c r="J142" s="11" t="s">
        <v>170</v>
      </c>
      <c r="K142" s="15" t="s">
        <v>14</v>
      </c>
    </row>
    <row r="143" spans="1:11" x14ac:dyDescent="0.25">
      <c r="A143" s="11" t="s">
        <v>297</v>
      </c>
      <c r="B143" s="16">
        <v>45668</v>
      </c>
      <c r="C143" s="11" t="s">
        <v>266</v>
      </c>
      <c r="D143" s="11" t="s">
        <v>82</v>
      </c>
      <c r="E143" s="11" t="s">
        <v>83</v>
      </c>
      <c r="F143" s="11">
        <v>3</v>
      </c>
      <c r="G143" s="14">
        <v>54990</v>
      </c>
      <c r="H143" s="14">
        <f t="shared" si="4"/>
        <v>164970</v>
      </c>
      <c r="I143" s="11" t="s">
        <v>17</v>
      </c>
      <c r="J143" s="11" t="s">
        <v>141</v>
      </c>
      <c r="K143" s="15" t="s">
        <v>14</v>
      </c>
    </row>
    <row r="144" spans="1:11" x14ac:dyDescent="0.25">
      <c r="A144" s="11" t="s">
        <v>298</v>
      </c>
      <c r="B144" s="16">
        <v>45677</v>
      </c>
      <c r="C144" s="11" t="s">
        <v>140</v>
      </c>
      <c r="D144" s="11" t="s">
        <v>104</v>
      </c>
      <c r="E144" s="11" t="s">
        <v>105</v>
      </c>
      <c r="F144" s="11">
        <v>2</v>
      </c>
      <c r="G144" s="14">
        <v>6990</v>
      </c>
      <c r="H144" s="14">
        <f t="shared" si="4"/>
        <v>13980</v>
      </c>
      <c r="I144" s="11" t="s">
        <v>17</v>
      </c>
      <c r="J144" s="11" t="s">
        <v>138</v>
      </c>
      <c r="K144" s="15" t="s">
        <v>14</v>
      </c>
    </row>
    <row r="145" spans="1:11" x14ac:dyDescent="0.25">
      <c r="A145" s="11" t="s">
        <v>299</v>
      </c>
      <c r="B145" s="16">
        <v>45680</v>
      </c>
      <c r="C145" s="11" t="s">
        <v>140</v>
      </c>
      <c r="D145" s="11" t="s">
        <v>86</v>
      </c>
      <c r="E145" s="11" t="s">
        <v>126</v>
      </c>
      <c r="F145" s="11">
        <v>2</v>
      </c>
      <c r="G145" s="14">
        <v>18990</v>
      </c>
      <c r="H145" s="14">
        <f t="shared" si="4"/>
        <v>37980</v>
      </c>
      <c r="I145" s="11" t="s">
        <v>22</v>
      </c>
      <c r="J145" s="11" t="s">
        <v>174</v>
      </c>
      <c r="K145" s="15" t="s">
        <v>14</v>
      </c>
    </row>
    <row r="146" spans="1:11" x14ac:dyDescent="0.25">
      <c r="A146" s="11" t="s">
        <v>300</v>
      </c>
      <c r="B146" s="16">
        <v>45672</v>
      </c>
      <c r="C146" s="11" t="s">
        <v>140</v>
      </c>
      <c r="D146" s="11" t="s">
        <v>102</v>
      </c>
      <c r="E146" s="11" t="s">
        <v>103</v>
      </c>
      <c r="F146" s="11">
        <v>3</v>
      </c>
      <c r="G146" s="14">
        <v>99990</v>
      </c>
      <c r="H146" s="14">
        <f t="shared" si="4"/>
        <v>299970</v>
      </c>
      <c r="I146" s="11" t="s">
        <v>28</v>
      </c>
      <c r="J146" s="11" t="s">
        <v>157</v>
      </c>
      <c r="K146" s="15" t="s">
        <v>30</v>
      </c>
    </row>
    <row r="147" spans="1:11" x14ac:dyDescent="0.25">
      <c r="A147" s="11" t="s">
        <v>301</v>
      </c>
      <c r="B147" s="16">
        <v>45683</v>
      </c>
      <c r="C147" s="11" t="s">
        <v>122</v>
      </c>
      <c r="D147" s="11" t="s">
        <v>78</v>
      </c>
      <c r="E147" s="11" t="s">
        <v>79</v>
      </c>
      <c r="F147" s="11">
        <v>3</v>
      </c>
      <c r="G147" s="14">
        <v>1490</v>
      </c>
      <c r="H147" s="14">
        <f t="shared" si="4"/>
        <v>4470</v>
      </c>
      <c r="I147" s="11" t="s">
        <v>11</v>
      </c>
      <c r="J147" s="11" t="s">
        <v>133</v>
      </c>
      <c r="K147" s="15" t="s">
        <v>30</v>
      </c>
    </row>
    <row r="148" spans="1:11" x14ac:dyDescent="0.25">
      <c r="A148" s="11" t="s">
        <v>302</v>
      </c>
      <c r="B148" s="16">
        <v>45661</v>
      </c>
      <c r="C148" s="11" t="s">
        <v>266</v>
      </c>
      <c r="D148" s="11" t="s">
        <v>106</v>
      </c>
      <c r="E148" s="11" t="s">
        <v>205</v>
      </c>
      <c r="F148" s="11">
        <v>3</v>
      </c>
      <c r="G148" s="14">
        <v>12990</v>
      </c>
      <c r="H148" s="14">
        <f t="shared" si="4"/>
        <v>38970</v>
      </c>
      <c r="I148" s="11" t="s">
        <v>28</v>
      </c>
      <c r="J148" s="11" t="s">
        <v>150</v>
      </c>
      <c r="K148" s="15" t="s">
        <v>14</v>
      </c>
    </row>
    <row r="149" spans="1:11" x14ac:dyDescent="0.25">
      <c r="A149" s="11" t="s">
        <v>303</v>
      </c>
      <c r="B149" s="16">
        <v>45677</v>
      </c>
      <c r="C149" s="11" t="s">
        <v>146</v>
      </c>
      <c r="D149" s="11" t="s">
        <v>60</v>
      </c>
      <c r="E149" s="11" t="s">
        <v>61</v>
      </c>
      <c r="F149" s="11">
        <v>2</v>
      </c>
      <c r="G149" s="14">
        <v>3490</v>
      </c>
      <c r="H149" s="14">
        <f t="shared" si="4"/>
        <v>6980</v>
      </c>
      <c r="I149" s="11" t="s">
        <v>11</v>
      </c>
      <c r="J149" s="11" t="s">
        <v>174</v>
      </c>
      <c r="K149" s="15" t="s">
        <v>25</v>
      </c>
    </row>
    <row r="150" spans="1:11" x14ac:dyDescent="0.25">
      <c r="A150" s="11" t="s">
        <v>304</v>
      </c>
      <c r="B150" s="16">
        <v>45683</v>
      </c>
      <c r="C150" s="11" t="s">
        <v>146</v>
      </c>
      <c r="D150" s="11" t="s">
        <v>80</v>
      </c>
      <c r="E150" s="11" t="s">
        <v>81</v>
      </c>
      <c r="F150" s="11">
        <v>5</v>
      </c>
      <c r="G150" s="14">
        <v>7990</v>
      </c>
      <c r="H150" s="14">
        <f t="shared" si="4"/>
        <v>39950</v>
      </c>
      <c r="I150" s="11" t="s">
        <v>22</v>
      </c>
      <c r="J150" s="11" t="s">
        <v>150</v>
      </c>
      <c r="K150" s="15" t="s">
        <v>14</v>
      </c>
    </row>
    <row r="151" spans="1:11" x14ac:dyDescent="0.25">
      <c r="A151" s="11" t="s">
        <v>305</v>
      </c>
      <c r="B151" s="16">
        <v>45682</v>
      </c>
      <c r="C151" s="11" t="s">
        <v>156</v>
      </c>
      <c r="D151" s="11" t="s">
        <v>62</v>
      </c>
      <c r="E151" s="11" t="s">
        <v>63</v>
      </c>
      <c r="F151" s="11">
        <v>5</v>
      </c>
      <c r="G151" s="14">
        <v>9990</v>
      </c>
      <c r="H151" s="14">
        <f t="shared" si="4"/>
        <v>49950</v>
      </c>
      <c r="I151" s="11" t="s">
        <v>17</v>
      </c>
      <c r="J151" s="11" t="s">
        <v>133</v>
      </c>
      <c r="K151" s="15" t="s">
        <v>14</v>
      </c>
    </row>
    <row r="152" spans="1:11" x14ac:dyDescent="0.25">
      <c r="A152" s="11" t="s">
        <v>306</v>
      </c>
      <c r="B152" s="16">
        <v>45676</v>
      </c>
      <c r="C152" s="11" t="s">
        <v>185</v>
      </c>
      <c r="D152" s="11" t="s">
        <v>86</v>
      </c>
      <c r="E152" s="11" t="s">
        <v>126</v>
      </c>
      <c r="F152" s="11">
        <v>1</v>
      </c>
      <c r="G152" s="14">
        <v>18990</v>
      </c>
      <c r="H152" s="14">
        <f t="shared" si="4"/>
        <v>18990</v>
      </c>
      <c r="I152" s="11" t="s">
        <v>22</v>
      </c>
      <c r="J152" s="11" t="s">
        <v>157</v>
      </c>
      <c r="K152" s="15" t="s">
        <v>14</v>
      </c>
    </row>
  </sheetData>
  <mergeCells count="1">
    <mergeCell ref="A1:K1"/>
  </mergeCells>
  <conditionalFormatting sqref="K3:K152">
    <cfRule type="expression" dxfId="3" priority="2">
      <formula>$K3="Выполнен"</formula>
    </cfRule>
    <cfRule type="expression" dxfId="2" priority="3">
      <formula>$K3="Отменён"</formula>
    </cfRule>
    <cfRule type="expression" dxfId="1" priority="4">
      <formula>$K3="Возврат"</formula>
    </cfRule>
    <cfRule type="expression" dxfId="0" priority="5">
      <formula>$K3="Доставляется"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zoomScaleNormal="100" workbookViewId="0"/>
  </sheetViews>
  <sheetFormatPr defaultColWidth="8.7109375" defaultRowHeight="15" x14ac:dyDescent="0.25"/>
  <cols>
    <col min="1" max="12" width="20" customWidth="1"/>
  </cols>
  <sheetData>
    <row r="1" spans="1:12" ht="39.75" customHeight="1" x14ac:dyDescent="0.35">
      <c r="A1" s="7" t="s">
        <v>307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x14ac:dyDescent="0.25">
      <c r="A3" s="6" t="s">
        <v>308</v>
      </c>
      <c r="B3" s="6"/>
      <c r="C3" s="6" t="s">
        <v>309</v>
      </c>
      <c r="D3" s="6"/>
      <c r="E3" s="6" t="s">
        <v>310</v>
      </c>
      <c r="F3" s="6"/>
      <c r="G3" s="6" t="s">
        <v>311</v>
      </c>
      <c r="H3" s="6"/>
      <c r="I3" s="6" t="s">
        <v>312</v>
      </c>
      <c r="J3" s="6"/>
    </row>
    <row r="4" spans="1:12" ht="30" x14ac:dyDescent="0.4">
      <c r="A4" s="5">
        <f>SUMIF(Продажи!K3:K152,"Выполнен",Продажи!H3:H152)</f>
        <v>5427870</v>
      </c>
      <c r="B4" s="5"/>
      <c r="C4" s="4">
        <f>COUNTIF(Продажи!K3:K152,"Выполнен")</f>
        <v>76</v>
      </c>
      <c r="D4" s="4"/>
      <c r="E4" s="5">
        <f>AVERAGEIF(Продажи!K3:K152,"Выполнен",Продажи!H3:H152)</f>
        <v>71419.34210526316</v>
      </c>
      <c r="F4" s="5"/>
      <c r="G4" s="3">
        <f>COUNTIF(Продажи!K3:K152,"Выполнен")/COUNTA(Продажи!K3:K152)</f>
        <v>0.50666666666666671</v>
      </c>
      <c r="H4" s="3"/>
      <c r="I4" s="2">
        <f>COUNTIF(Продажи!K3:K152,"Возврат")+COUNTIF(Продажи!K3:K152,"Отменён")</f>
        <v>26</v>
      </c>
      <c r="J4" s="2"/>
    </row>
    <row r="5" spans="1:1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</row>
    <row r="8" spans="1:12" ht="15.75" x14ac:dyDescent="0.25">
      <c r="A8" s="1" t="s">
        <v>313</v>
      </c>
      <c r="B8" s="1"/>
      <c r="C8" s="1"/>
      <c r="E8" s="1" t="s">
        <v>314</v>
      </c>
      <c r="F8" s="1"/>
      <c r="G8" s="1"/>
      <c r="H8" s="1"/>
    </row>
    <row r="9" spans="1:12" x14ac:dyDescent="0.25">
      <c r="A9" s="18" t="s">
        <v>120</v>
      </c>
      <c r="B9" s="18" t="s">
        <v>315</v>
      </c>
      <c r="C9" s="18" t="s">
        <v>316</v>
      </c>
      <c r="E9" s="18" t="s">
        <v>3</v>
      </c>
      <c r="F9" s="18" t="s">
        <v>315</v>
      </c>
      <c r="G9" s="18" t="s">
        <v>316</v>
      </c>
      <c r="H9" s="18" t="s">
        <v>317</v>
      </c>
    </row>
    <row r="10" spans="1:12" x14ac:dyDescent="0.25">
      <c r="A10" s="11" t="s">
        <v>127</v>
      </c>
      <c r="B10" s="14">
        <f>SUMIFS(Продажи!H3:H152,Продажи!J3:J152,A10,Продажи!K3:K152,"Выполнен")</f>
        <v>491730</v>
      </c>
      <c r="C10" s="11">
        <f>COUNTIFS(Продажи!J3:J152,A10,Продажи!K3:K152,"Выполнен")</f>
        <v>8</v>
      </c>
      <c r="E10" s="11" t="s">
        <v>11</v>
      </c>
      <c r="F10" s="14">
        <f>SUMIFS(Продажи!H3:H152,Продажи!I3:I152,E10,Продажи!K3:K152,"Выполнен")</f>
        <v>1316530</v>
      </c>
      <c r="G10" s="11">
        <f>COUNTIFS(Продажи!I3:I152,E10,Продажи!K3:K152,"Выполнен")</f>
        <v>16</v>
      </c>
      <c r="H10" s="14">
        <f t="shared" ref="H10:H15" si="0">IFERROR(F10/G10,0)</f>
        <v>82283.125</v>
      </c>
    </row>
    <row r="11" spans="1:12" x14ac:dyDescent="0.25">
      <c r="A11" s="11" t="s">
        <v>123</v>
      </c>
      <c r="B11" s="14">
        <f>SUMIFS(Продажи!H3:H152,Продажи!J3:J152,A11,Продажи!K3:K152,"Выполнен")</f>
        <v>586730</v>
      </c>
      <c r="C11" s="11">
        <f>COUNTIFS(Продажи!J3:J152,A11,Продажи!K3:K152,"Выполнен")</f>
        <v>9</v>
      </c>
      <c r="E11" s="11" t="s">
        <v>17</v>
      </c>
      <c r="F11" s="14">
        <f>SUMIFS(Продажи!H3:H152,Продажи!I3:I152,E11,Продажи!K3:K152,"Выполнен")</f>
        <v>798130</v>
      </c>
      <c r="G11" s="11">
        <f>COUNTIFS(Продажи!I3:I152,E11,Продажи!K3:K152,"Выполнен")</f>
        <v>13</v>
      </c>
      <c r="H11" s="14">
        <f t="shared" si="0"/>
        <v>61394.615384615383</v>
      </c>
    </row>
    <row r="12" spans="1:12" x14ac:dyDescent="0.25">
      <c r="A12" s="11" t="s">
        <v>174</v>
      </c>
      <c r="B12" s="14">
        <f>SUMIFS(Продажи!H3:H152,Продажи!J3:J152,A12,Продажи!K3:K152,"Выполнен")</f>
        <v>394860</v>
      </c>
      <c r="C12" s="11">
        <f>COUNTIFS(Продажи!J3:J152,A12,Продажи!K3:K152,"Выполнен")</f>
        <v>8</v>
      </c>
      <c r="E12" s="11" t="s">
        <v>22</v>
      </c>
      <c r="F12" s="14">
        <f>SUMIFS(Продажи!H3:H152,Продажи!I3:I152,E12,Продажи!K3:K152,"Выполнен")</f>
        <v>917180</v>
      </c>
      <c r="G12" s="11">
        <f>COUNTIFS(Продажи!I3:I152,E12,Продажи!K3:K152,"Выполнен")</f>
        <v>13</v>
      </c>
      <c r="H12" s="14">
        <f t="shared" si="0"/>
        <v>70552.307692307688</v>
      </c>
    </row>
    <row r="13" spans="1:12" x14ac:dyDescent="0.25">
      <c r="A13" s="11" t="s">
        <v>130</v>
      </c>
      <c r="B13" s="14">
        <f>SUMIFS(Продажи!H3:H152,Продажи!J3:J152,A13,Продажи!K3:K152,"Выполнен")</f>
        <v>335810</v>
      </c>
      <c r="C13" s="11">
        <f>COUNTIFS(Продажи!J3:J152,A13,Продажи!K3:K152,"Выполнен")</f>
        <v>6</v>
      </c>
      <c r="E13" s="11" t="s">
        <v>28</v>
      </c>
      <c r="F13" s="14">
        <f>SUMIFS(Продажи!H3:H152,Продажи!I3:I152,E13,Продажи!K3:K152,"Выполнен")</f>
        <v>685640</v>
      </c>
      <c r="G13" s="11">
        <f>COUNTIFS(Продажи!I3:I152,E13,Продажи!K3:K152,"Выполнен")</f>
        <v>12</v>
      </c>
      <c r="H13" s="14">
        <f t="shared" si="0"/>
        <v>57136.666666666664</v>
      </c>
    </row>
    <row r="14" spans="1:12" x14ac:dyDescent="0.25">
      <c r="A14" s="11" t="s">
        <v>170</v>
      </c>
      <c r="B14" s="14">
        <f>SUMIFS(Продажи!H3:H152,Продажи!J3:J152,A14,Продажи!K3:K152,"Выполнен")</f>
        <v>1024730</v>
      </c>
      <c r="C14" s="11">
        <f>COUNTIFS(Продажи!J3:J152,A14,Продажи!K3:K152,"Выполнен")</f>
        <v>9</v>
      </c>
      <c r="E14" s="11" t="s">
        <v>33</v>
      </c>
      <c r="F14" s="14">
        <f>SUMIFS(Продажи!H3:H152,Продажи!I3:I152,E14,Продажи!K3:K152,"Выполнен")</f>
        <v>527320</v>
      </c>
      <c r="G14" s="11">
        <f>COUNTIFS(Продажи!I3:I152,E14,Продажи!K3:K152,"Выполнен")</f>
        <v>8</v>
      </c>
      <c r="H14" s="14">
        <f t="shared" si="0"/>
        <v>65915</v>
      </c>
    </row>
    <row r="15" spans="1:12" x14ac:dyDescent="0.25">
      <c r="A15" s="11" t="s">
        <v>138</v>
      </c>
      <c r="B15" s="14">
        <f>SUMIFS(Продажи!H3:H152,Продажи!J3:J152,A15,Продажи!K3:K152,"Выполнен")</f>
        <v>173850</v>
      </c>
      <c r="C15" s="11">
        <f>COUNTIFS(Продажи!J3:J152,A15,Продажи!K3:K152,"Выполнен")</f>
        <v>6</v>
      </c>
      <c r="E15" s="11" t="s">
        <v>39</v>
      </c>
      <c r="F15" s="14">
        <f>SUMIFS(Продажи!H3:H152,Продажи!I3:I152,E15,Продажи!K3:K152,"Выполнен")</f>
        <v>1183070</v>
      </c>
      <c r="G15" s="11">
        <f>COUNTIFS(Продажи!I3:I152,E15,Продажи!K3:K152,"Выполнен")</f>
        <v>14</v>
      </c>
      <c r="H15" s="14">
        <f t="shared" si="0"/>
        <v>84505</v>
      </c>
    </row>
    <row r="16" spans="1:12" x14ac:dyDescent="0.25">
      <c r="A16" s="11" t="s">
        <v>133</v>
      </c>
      <c r="B16" s="14">
        <f>SUMIFS(Продажи!H3:H152,Продажи!J3:J152,A16,Продажи!K3:K152,"Выполнен")</f>
        <v>314810</v>
      </c>
      <c r="C16" s="11">
        <f>COUNTIFS(Продажи!J3:J152,A16,Продажи!K3:K152,"Выполнен")</f>
        <v>9</v>
      </c>
    </row>
    <row r="17" spans="1:8" x14ac:dyDescent="0.25">
      <c r="A17" s="11" t="s">
        <v>157</v>
      </c>
      <c r="B17" s="14">
        <f>SUMIFS(Продажи!H3:H152,Продажи!J3:J152,A17,Продажи!K3:K152,"Выполнен")</f>
        <v>606780</v>
      </c>
      <c r="C17" s="11">
        <f>COUNTIFS(Продажи!J3:J152,A17,Продажи!K3:K152,"Выполнен")</f>
        <v>7</v>
      </c>
    </row>
    <row r="18" spans="1:8" x14ac:dyDescent="0.25">
      <c r="A18" s="11" t="s">
        <v>141</v>
      </c>
      <c r="B18" s="14">
        <f>SUMIFS(Продажи!H3:H152,Продажи!J3:J152,A18,Продажи!K3:K152,"Выполнен")</f>
        <v>1254680</v>
      </c>
      <c r="C18" s="11">
        <f>COUNTIFS(Продажи!J3:J152,A18,Продажи!K3:K152,"Выполнен")</f>
        <v>11</v>
      </c>
    </row>
    <row r="19" spans="1:8" x14ac:dyDescent="0.25">
      <c r="A19" s="11" t="s">
        <v>150</v>
      </c>
      <c r="B19" s="14">
        <f>SUMIFS(Продажи!H3:H152,Продажи!J3:J152,A19,Продажи!K3:K152,"Выполнен")</f>
        <v>243890</v>
      </c>
      <c r="C19" s="11">
        <f>COUNTIFS(Продажи!J3:J152,A19,Продажи!K3:K152,"Выполнен")</f>
        <v>3</v>
      </c>
    </row>
    <row r="22" spans="1:8" ht="15.75" x14ac:dyDescent="0.25">
      <c r="A22" s="1" t="s">
        <v>318</v>
      </c>
      <c r="B22" s="1"/>
      <c r="C22" s="1"/>
      <c r="D22" s="1"/>
      <c r="F22" s="1" t="s">
        <v>319</v>
      </c>
      <c r="G22" s="1"/>
      <c r="H22" s="1"/>
    </row>
    <row r="23" spans="1:8" x14ac:dyDescent="0.25">
      <c r="A23" s="18" t="s">
        <v>47</v>
      </c>
      <c r="B23" s="18" t="s">
        <v>3</v>
      </c>
      <c r="C23" s="18" t="s">
        <v>315</v>
      </c>
      <c r="D23" s="18" t="s">
        <v>320</v>
      </c>
      <c r="F23" s="18" t="s">
        <v>8</v>
      </c>
      <c r="G23" s="18" t="s">
        <v>117</v>
      </c>
      <c r="H23" s="18" t="s">
        <v>321</v>
      </c>
    </row>
    <row r="24" spans="1:8" x14ac:dyDescent="0.25">
      <c r="A24" s="11" t="s">
        <v>10</v>
      </c>
      <c r="B24" s="11" t="s">
        <v>9</v>
      </c>
      <c r="C24" s="14">
        <v>1205632</v>
      </c>
      <c r="D24" s="12">
        <f t="shared" ref="D24:D31" si="1">C24/SUM($C$24:$C$31)</f>
        <v>8.99124972369197E-2</v>
      </c>
      <c r="F24" s="11" t="s">
        <v>14</v>
      </c>
      <c r="G24" s="11">
        <f>COUNTIF(Продажи!K3:K152,F24)</f>
        <v>76</v>
      </c>
      <c r="H24" s="12">
        <f>G24/SUM($G$24:$G$28)</f>
        <v>0.50666666666666671</v>
      </c>
    </row>
    <row r="25" spans="1:8" x14ac:dyDescent="0.25">
      <c r="A25" s="11" t="s">
        <v>16</v>
      </c>
      <c r="B25" s="11" t="s">
        <v>15</v>
      </c>
      <c r="C25" s="14">
        <v>1944061</v>
      </c>
      <c r="D25" s="12">
        <f t="shared" si="1"/>
        <v>0.14498236550697341</v>
      </c>
      <c r="F25" s="11" t="s">
        <v>19</v>
      </c>
      <c r="G25" s="11">
        <f>COUNTIF(Продажи!K3:K152,F25)</f>
        <v>12</v>
      </c>
      <c r="H25" s="12">
        <f>G25/SUM($G$24:$G$28)</f>
        <v>0.08</v>
      </c>
    </row>
    <row r="26" spans="1:8" x14ac:dyDescent="0.25">
      <c r="A26" s="11" t="s">
        <v>21</v>
      </c>
      <c r="B26" s="11" t="s">
        <v>20</v>
      </c>
      <c r="C26" s="14">
        <v>2965859</v>
      </c>
      <c r="D26" s="12">
        <f t="shared" si="1"/>
        <v>0.22118506239266494</v>
      </c>
      <c r="F26" s="11" t="s">
        <v>25</v>
      </c>
      <c r="G26" s="11">
        <f>COUNTIF(Продажи!K3:K152,F26)</f>
        <v>36</v>
      </c>
      <c r="H26" s="12">
        <f>G26/SUM($G$24:$G$28)</f>
        <v>0.24</v>
      </c>
    </row>
    <row r="27" spans="1:8" x14ac:dyDescent="0.25">
      <c r="A27" s="11" t="s">
        <v>27</v>
      </c>
      <c r="B27" s="11" t="s">
        <v>26</v>
      </c>
      <c r="C27" s="14">
        <v>1038362</v>
      </c>
      <c r="D27" s="12">
        <f t="shared" si="1"/>
        <v>7.7437991406932152E-2</v>
      </c>
      <c r="F27" s="11" t="s">
        <v>30</v>
      </c>
      <c r="G27" s="11">
        <f>COUNTIF(Продажи!K3:K152,F27)</f>
        <v>11</v>
      </c>
      <c r="H27" s="12">
        <f>G27/SUM($G$24:$G$28)</f>
        <v>7.3333333333333334E-2</v>
      </c>
    </row>
    <row r="28" spans="1:8" x14ac:dyDescent="0.25">
      <c r="A28" s="11" t="s">
        <v>32</v>
      </c>
      <c r="B28" s="11" t="s">
        <v>31</v>
      </c>
      <c r="C28" s="14">
        <v>1086088</v>
      </c>
      <c r="D28" s="12">
        <f t="shared" si="1"/>
        <v>8.0997256458895953E-2</v>
      </c>
      <c r="F28" s="11" t="s">
        <v>36</v>
      </c>
      <c r="G28" s="11">
        <f>COUNTIF(Продажи!K3:K152,F28)</f>
        <v>15</v>
      </c>
      <c r="H28" s="12">
        <f>G28/SUM($G$24:$G$28)</f>
        <v>0.1</v>
      </c>
    </row>
    <row r="29" spans="1:8" x14ac:dyDescent="0.25">
      <c r="A29" s="11" t="s">
        <v>38</v>
      </c>
      <c r="B29" s="11" t="s">
        <v>37</v>
      </c>
      <c r="C29" s="14">
        <v>1776367</v>
      </c>
      <c r="D29" s="12">
        <f t="shared" si="1"/>
        <v>0.13247623900100142</v>
      </c>
    </row>
    <row r="30" spans="1:8" x14ac:dyDescent="0.25">
      <c r="A30" s="11" t="s">
        <v>42</v>
      </c>
      <c r="B30" s="11" t="s">
        <v>41</v>
      </c>
      <c r="C30" s="14">
        <v>2244633</v>
      </c>
      <c r="D30" s="12">
        <f t="shared" si="1"/>
        <v>0.1673981433890265</v>
      </c>
    </row>
    <row r="31" spans="1:8" x14ac:dyDescent="0.25">
      <c r="A31" s="11" t="s">
        <v>44</v>
      </c>
      <c r="B31" s="11" t="s">
        <v>43</v>
      </c>
      <c r="C31" s="14">
        <v>1147946</v>
      </c>
      <c r="D31" s="12">
        <f t="shared" si="1"/>
        <v>8.561044460758592E-2</v>
      </c>
    </row>
  </sheetData>
  <mergeCells count="15">
    <mergeCell ref="A8:C8"/>
    <mergeCell ref="E8:H8"/>
    <mergeCell ref="A22:D22"/>
    <mergeCell ref="F22:H22"/>
    <mergeCell ref="A4:B4"/>
    <mergeCell ref="C4:D4"/>
    <mergeCell ref="E4:F4"/>
    <mergeCell ref="G4:H4"/>
    <mergeCell ref="I4:J4"/>
    <mergeCell ref="A1:L1"/>
    <mergeCell ref="A3:B3"/>
    <mergeCell ref="C3:D3"/>
    <mergeCell ref="E3:F3"/>
    <mergeCell ref="G3:H3"/>
    <mergeCell ref="I3:J3"/>
  </mergeCells>
  <conditionalFormatting sqref="B10:B19">
    <cfRule type="dataBar" priority="2">
      <dataBar>
        <cfvo type="min"/>
        <cfvo type="max"/>
        <color rgb="FF2F5496"/>
      </dataBar>
      <extLst>
        <ext xmlns:x14="http://schemas.microsoft.com/office/spreadsheetml/2009/9/main" uri="{B025F937-C7B1-47D3-B67F-A62EFF666E3E}">
          <x14:id>{57FF4DA8-23DD-4616-80EB-EE347E60F840}</x14:id>
        </ext>
      </extLst>
    </cfRule>
  </conditionalFormatting>
  <conditionalFormatting sqref="F10:F15">
    <cfRule type="colorScale" priority="3">
      <colorScale>
        <cfvo type="min"/>
        <cfvo type="percentile" val="50"/>
        <cfvo type="max"/>
        <color rgb="FFFFCCCB"/>
        <color rgb="FFFFFFC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F4DA8-23DD-4616-80EB-EE347E60F840}">
            <x14:dataBar axisPosition="none">
              <x14:cfvo type="min"/>
              <x14:cfvo type="max"/>
              <x14:negativeFillColor rgb="FF2F5496"/>
            </x14:dataBar>
          </x14:cfRule>
          <xm:sqref>B10:B19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zoomScaleNormal="100" workbookViewId="0"/>
  </sheetViews>
  <sheetFormatPr defaultColWidth="8.7109375" defaultRowHeight="15" x14ac:dyDescent="0.25"/>
  <cols>
    <col min="1" max="1" width="8" customWidth="1"/>
    <col min="2" max="2" width="12" customWidth="1"/>
    <col min="3" max="3" width="32" customWidth="1"/>
    <col min="4" max="6" width="14" customWidth="1"/>
  </cols>
  <sheetData>
    <row r="1" spans="1:6" ht="22.5" x14ac:dyDescent="0.3">
      <c r="A1" s="8" t="s">
        <v>322</v>
      </c>
      <c r="B1" s="8"/>
      <c r="C1" s="8"/>
      <c r="D1" s="8"/>
      <c r="E1" s="8"/>
      <c r="F1" s="8"/>
    </row>
    <row r="2" spans="1:6" x14ac:dyDescent="0.25">
      <c r="A2" s="9" t="s">
        <v>323</v>
      </c>
      <c r="B2" s="9" t="s">
        <v>46</v>
      </c>
      <c r="C2" s="9" t="s">
        <v>4</v>
      </c>
      <c r="D2" s="9" t="s">
        <v>324</v>
      </c>
      <c r="E2" s="9" t="s">
        <v>315</v>
      </c>
      <c r="F2" s="9" t="s">
        <v>325</v>
      </c>
    </row>
    <row r="3" spans="1:6" x14ac:dyDescent="0.25">
      <c r="A3" s="19">
        <v>1</v>
      </c>
      <c r="B3" s="11" t="s">
        <v>52</v>
      </c>
      <c r="C3" s="11" t="s">
        <v>53</v>
      </c>
      <c r="D3" s="20">
        <v>45</v>
      </c>
      <c r="E3" s="14">
        <v>1574550</v>
      </c>
      <c r="F3" s="11" t="s">
        <v>326</v>
      </c>
    </row>
    <row r="4" spans="1:6" x14ac:dyDescent="0.25">
      <c r="A4" s="21">
        <v>2</v>
      </c>
      <c r="B4" s="11" t="s">
        <v>54</v>
      </c>
      <c r="C4" s="11" t="s">
        <v>55</v>
      </c>
      <c r="D4" s="20">
        <v>38</v>
      </c>
      <c r="E4" s="14">
        <v>2089620</v>
      </c>
      <c r="F4" s="11" t="s">
        <v>326</v>
      </c>
    </row>
    <row r="5" spans="1:6" x14ac:dyDescent="0.25">
      <c r="A5" s="22">
        <v>3</v>
      </c>
      <c r="B5" s="11" t="s">
        <v>64</v>
      </c>
      <c r="C5" s="11" t="s">
        <v>65</v>
      </c>
      <c r="D5" s="20">
        <v>32</v>
      </c>
      <c r="E5" s="14">
        <v>1695680</v>
      </c>
      <c r="F5" s="11" t="s">
        <v>327</v>
      </c>
    </row>
    <row r="6" spans="1:6" x14ac:dyDescent="0.25">
      <c r="A6" s="23">
        <v>4</v>
      </c>
      <c r="B6" s="11" t="s">
        <v>102</v>
      </c>
      <c r="C6" s="11" t="s">
        <v>103</v>
      </c>
      <c r="D6" s="20">
        <v>28</v>
      </c>
      <c r="E6" s="14">
        <v>2799720</v>
      </c>
      <c r="F6" s="11" t="s">
        <v>326</v>
      </c>
    </row>
    <row r="7" spans="1:6" x14ac:dyDescent="0.25">
      <c r="A7" s="23">
        <v>5</v>
      </c>
      <c r="B7" s="11" t="s">
        <v>62</v>
      </c>
      <c r="C7" s="11" t="s">
        <v>63</v>
      </c>
      <c r="D7" s="20">
        <v>52</v>
      </c>
      <c r="E7" s="14">
        <v>519480</v>
      </c>
      <c r="F7" s="11" t="s">
        <v>327</v>
      </c>
    </row>
    <row r="8" spans="1:6" x14ac:dyDescent="0.25">
      <c r="A8" s="23">
        <v>6</v>
      </c>
      <c r="B8" s="11" t="s">
        <v>70</v>
      </c>
      <c r="C8" s="11" t="s">
        <v>71</v>
      </c>
      <c r="D8" s="20">
        <v>24</v>
      </c>
      <c r="E8" s="14">
        <v>959760</v>
      </c>
      <c r="F8" s="11" t="s">
        <v>327</v>
      </c>
    </row>
    <row r="9" spans="1:6" x14ac:dyDescent="0.25">
      <c r="A9" s="23">
        <v>7</v>
      </c>
      <c r="B9" s="11" t="s">
        <v>100</v>
      </c>
      <c r="C9" s="11" t="s">
        <v>101</v>
      </c>
      <c r="D9" s="20">
        <v>22</v>
      </c>
      <c r="E9" s="14">
        <v>1429780</v>
      </c>
      <c r="F9" s="11" t="s">
        <v>326</v>
      </c>
    </row>
    <row r="10" spans="1:6" x14ac:dyDescent="0.25">
      <c r="A10" s="23">
        <v>8</v>
      </c>
      <c r="B10" s="11" t="s">
        <v>66</v>
      </c>
      <c r="C10" s="11" t="s">
        <v>67</v>
      </c>
      <c r="D10" s="20">
        <v>20</v>
      </c>
      <c r="E10" s="14">
        <v>899800</v>
      </c>
      <c r="F10" s="11" t="s">
        <v>327</v>
      </c>
    </row>
    <row r="11" spans="1:6" x14ac:dyDescent="0.25">
      <c r="A11" s="23">
        <v>9</v>
      </c>
      <c r="B11" s="11" t="s">
        <v>58</v>
      </c>
      <c r="C11" s="11" t="s">
        <v>59</v>
      </c>
      <c r="D11" s="20">
        <v>48</v>
      </c>
      <c r="E11" s="14">
        <v>383520</v>
      </c>
      <c r="F11" s="11" t="s">
        <v>328</v>
      </c>
    </row>
    <row r="12" spans="1:6" x14ac:dyDescent="0.25">
      <c r="A12" s="23">
        <v>10</v>
      </c>
      <c r="B12" s="11" t="s">
        <v>82</v>
      </c>
      <c r="C12" s="11" t="s">
        <v>83</v>
      </c>
      <c r="D12" s="20">
        <v>15</v>
      </c>
      <c r="E12" s="14">
        <v>824850</v>
      </c>
      <c r="F12" s="11" t="s">
        <v>327</v>
      </c>
    </row>
  </sheetData>
  <mergeCells count="1">
    <mergeCell ref="A1:F1"/>
  </mergeCells>
  <conditionalFormatting sqref="E3:E12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{546627E9-2CE7-4F82-B118-853D24F75044}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6627E9-2CE7-4F82-B118-853D24F75044}">
            <x14:dataBar axisPosition="none">
              <x14:cfvo type="min"/>
              <x14:cfvo type="max"/>
              <x14:negativeFillColor rgb="FF70AD47"/>
            </x14:dataBar>
          </x14:cfRule>
          <xm:sqref>E3:E12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Справочники</vt:lpstr>
      <vt:lpstr>Товары</vt:lpstr>
      <vt:lpstr>Продажи</vt:lpstr>
      <vt:lpstr>Дашборд</vt:lpstr>
      <vt:lpstr>Топ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Пользователь</cp:lastModifiedBy>
  <cp:revision>1</cp:revision>
  <dcterms:created xsi:type="dcterms:W3CDTF">2026-02-01T10:12:22Z</dcterms:created>
  <dcterms:modified xsi:type="dcterms:W3CDTF">2026-02-01T10:17:05Z</dcterms:modified>
  <dc:language>en-US</dc:language>
</cp:coreProperties>
</file>