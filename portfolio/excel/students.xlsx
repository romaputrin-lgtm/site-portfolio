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портфолио\excel\"/>
    </mc:Choice>
  </mc:AlternateContent>
  <xr:revisionPtr revIDLastSave="0" documentId="8_{E9C25975-8630-4D99-B9AD-AEE1A25A6E55}" xr6:coauthVersionLast="37" xr6:coauthVersionMax="37" xr10:uidLastSave="{00000000-0000-0000-0000-000000000000}"/>
  <bookViews>
    <workbookView xWindow="0" yWindow="0" windowWidth="16380" windowHeight="8190" tabRatio="500" xr2:uid="{00000000-000D-0000-FFFF-FFFF00000000}"/>
  </bookViews>
  <sheets>
    <sheet name="Журнал оценок" sheetId="1" r:id="rId1"/>
    <sheet name="Статистика" sheetId="2" r:id="rId2"/>
    <sheet name="Рейтинг" sheetId="3" r:id="rId3"/>
    <sheet name="Посещаемость" sheetId="4" r:id="rId4"/>
  </sheets>
  <calcPr calcId="17902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2" i="4" l="1"/>
  <c r="G22" i="4"/>
  <c r="I22" i="4" s="1"/>
  <c r="J22" i="4" s="1"/>
  <c r="G21" i="4"/>
  <c r="I21" i="4" s="1"/>
  <c r="J21" i="4" s="1"/>
  <c r="I20" i="4"/>
  <c r="J20" i="4" s="1"/>
  <c r="H20" i="4"/>
  <c r="G20" i="4"/>
  <c r="H19" i="4"/>
  <c r="G19" i="4"/>
  <c r="I19" i="4" s="1"/>
  <c r="J19" i="4" s="1"/>
  <c r="G18" i="4"/>
  <c r="I18" i="4" s="1"/>
  <c r="J18" i="4" s="1"/>
  <c r="I17" i="4"/>
  <c r="J17" i="4" s="1"/>
  <c r="H17" i="4"/>
  <c r="G17" i="4"/>
  <c r="H16" i="4"/>
  <c r="G16" i="4"/>
  <c r="I16" i="4" s="1"/>
  <c r="J16" i="4" s="1"/>
  <c r="G15" i="4"/>
  <c r="I15" i="4" s="1"/>
  <c r="J15" i="4" s="1"/>
  <c r="I14" i="4"/>
  <c r="J14" i="4" s="1"/>
  <c r="H14" i="4"/>
  <c r="G14" i="4"/>
  <c r="H13" i="4"/>
  <c r="G13" i="4"/>
  <c r="I13" i="4" s="1"/>
  <c r="J13" i="4" s="1"/>
  <c r="G12" i="4"/>
  <c r="I12" i="4" s="1"/>
  <c r="J12" i="4" s="1"/>
  <c r="I11" i="4"/>
  <c r="J11" i="4" s="1"/>
  <c r="H11" i="4"/>
  <c r="G11" i="4"/>
  <c r="H10" i="4"/>
  <c r="G10" i="4"/>
  <c r="I10" i="4" s="1"/>
  <c r="J10" i="4" s="1"/>
  <c r="G9" i="4"/>
  <c r="I9" i="4" s="1"/>
  <c r="J9" i="4" s="1"/>
  <c r="I8" i="4"/>
  <c r="J8" i="4" s="1"/>
  <c r="H8" i="4"/>
  <c r="G8" i="4"/>
  <c r="H7" i="4"/>
  <c r="G7" i="4"/>
  <c r="I7" i="4" s="1"/>
  <c r="J7" i="4" s="1"/>
  <c r="G6" i="4"/>
  <c r="I6" i="4" s="1"/>
  <c r="J6" i="4" s="1"/>
  <c r="I5" i="4"/>
  <c r="J5" i="4" s="1"/>
  <c r="H5" i="4"/>
  <c r="G5" i="4"/>
  <c r="H4" i="4"/>
  <c r="G4" i="4"/>
  <c r="I4" i="4" s="1"/>
  <c r="J4" i="4" s="1"/>
  <c r="G3" i="4"/>
  <c r="I3" i="4" s="1"/>
  <c r="J3" i="4" s="1"/>
  <c r="C14" i="3"/>
  <c r="B14" i="3"/>
  <c r="C6" i="3"/>
  <c r="E6" i="3" s="1"/>
  <c r="B6" i="3"/>
  <c r="C3" i="3"/>
  <c r="E3" i="3" s="1"/>
  <c r="B3" i="3"/>
  <c r="B14" i="2"/>
  <c r="F10" i="2"/>
  <c r="E10" i="2"/>
  <c r="D10" i="2"/>
  <c r="C10" i="2"/>
  <c r="B10" i="2"/>
  <c r="F9" i="2"/>
  <c r="E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H24" i="1"/>
  <c r="G24" i="1"/>
  <c r="F24" i="1"/>
  <c r="E24" i="1"/>
  <c r="D24" i="1"/>
  <c r="C24" i="1"/>
  <c r="L22" i="1"/>
  <c r="I22" i="1"/>
  <c r="K22" i="1" s="1"/>
  <c r="I21" i="1"/>
  <c r="L21" i="1" s="1"/>
  <c r="I20" i="1"/>
  <c r="J20" i="1" s="1"/>
  <c r="L19" i="1"/>
  <c r="K19" i="1"/>
  <c r="I19" i="1"/>
  <c r="J19" i="1" s="1"/>
  <c r="I18" i="1"/>
  <c r="L18" i="1" s="1"/>
  <c r="I17" i="1"/>
  <c r="L17" i="1" s="1"/>
  <c r="L16" i="1"/>
  <c r="K16" i="1"/>
  <c r="I16" i="1"/>
  <c r="J16" i="1" s="1"/>
  <c r="I15" i="1"/>
  <c r="L15" i="1" s="1"/>
  <c r="I14" i="1"/>
  <c r="L14" i="1" s="1"/>
  <c r="L13" i="1"/>
  <c r="K13" i="1"/>
  <c r="I13" i="1"/>
  <c r="J13" i="1" s="1"/>
  <c r="I12" i="1"/>
  <c r="L12" i="1" s="1"/>
  <c r="I11" i="1"/>
  <c r="L11" i="1" s="1"/>
  <c r="L10" i="1"/>
  <c r="K10" i="1"/>
  <c r="I10" i="1"/>
  <c r="J10" i="1" s="1"/>
  <c r="I9" i="1"/>
  <c r="L9" i="1" s="1"/>
  <c r="I8" i="1"/>
  <c r="J8" i="1" s="1"/>
  <c r="L7" i="1"/>
  <c r="K7" i="1"/>
  <c r="I7" i="1"/>
  <c r="J7" i="1" s="1"/>
  <c r="I6" i="1"/>
  <c r="L6" i="1" s="1"/>
  <c r="I5" i="1"/>
  <c r="L5" i="1" s="1"/>
  <c r="L4" i="1"/>
  <c r="K4" i="1"/>
  <c r="I4" i="1"/>
  <c r="J4" i="1" s="1"/>
  <c r="I3" i="1"/>
  <c r="C12" i="3" s="1"/>
  <c r="J11" i="1" l="1"/>
  <c r="L8" i="1"/>
  <c r="J22" i="1"/>
  <c r="B21" i="2"/>
  <c r="B13" i="3"/>
  <c r="C13" i="3"/>
  <c r="D3" i="3"/>
  <c r="D6" i="3"/>
  <c r="K5" i="1"/>
  <c r="K8" i="1"/>
  <c r="K11" i="1"/>
  <c r="K14" i="1"/>
  <c r="K17" i="1"/>
  <c r="K20" i="1"/>
  <c r="H3" i="4"/>
  <c r="H6" i="4"/>
  <c r="H9" i="4"/>
  <c r="H12" i="4"/>
  <c r="H15" i="4"/>
  <c r="H18" i="4"/>
  <c r="H21" i="4"/>
  <c r="J5" i="1"/>
  <c r="J14" i="1"/>
  <c r="L20" i="1"/>
  <c r="B4" i="3"/>
  <c r="B7" i="3"/>
  <c r="C4" i="3"/>
  <c r="C7" i="3"/>
  <c r="J3" i="1"/>
  <c r="J6" i="1"/>
  <c r="J9" i="1"/>
  <c r="J12" i="1"/>
  <c r="J15" i="1"/>
  <c r="J18" i="1"/>
  <c r="J21" i="1"/>
  <c r="K3" i="1"/>
  <c r="K6" i="1"/>
  <c r="K9" i="1"/>
  <c r="K12" i="1"/>
  <c r="K15" i="1"/>
  <c r="K18" i="1"/>
  <c r="K21" i="1"/>
  <c r="I24" i="1"/>
  <c r="L3" i="1"/>
  <c r="B19" i="2"/>
  <c r="B5" i="3"/>
  <c r="B12" i="3"/>
  <c r="J17" i="1"/>
  <c r="B20" i="2"/>
  <c r="C5" i="3"/>
  <c r="L24" i="1" l="1"/>
  <c r="B22" i="2"/>
  <c r="E7" i="3"/>
  <c r="D7" i="3"/>
  <c r="E4" i="3"/>
  <c r="D4" i="3"/>
  <c r="B18" i="2"/>
  <c r="B17" i="2"/>
  <c r="B16" i="2"/>
  <c r="B15" i="2"/>
  <c r="E5" i="3"/>
  <c r="D5" i="3"/>
</calcChain>
</file>

<file path=xl/sharedStrings.xml><?xml version="1.0" encoding="utf-8"?>
<sst xmlns="http://schemas.openxmlformats.org/spreadsheetml/2006/main" count="99" uniqueCount="64">
  <si>
    <t>📚 ЖУРНАЛ УСПЕВАЕМОСТИ — ГРУППА ИТ-21</t>
  </si>
  <si>
    <t>№</t>
  </si>
  <si>
    <t>ФИО студента</t>
  </si>
  <si>
    <t>Математика</t>
  </si>
  <si>
    <t>Физика</t>
  </si>
  <si>
    <t>Программирование</t>
  </si>
  <si>
    <t>Базы данных</t>
  </si>
  <si>
    <t>Английский</t>
  </si>
  <si>
    <t>Философия</t>
  </si>
  <si>
    <t>Средний балл</t>
  </si>
  <si>
    <t>Статус</t>
  </si>
  <si>
    <t>Рейтинг</t>
  </si>
  <si>
    <t>Стипендия</t>
  </si>
  <si>
    <t>Александров Дмитрий Сергеевич</t>
  </si>
  <si>
    <t>Белова Анна Викторовна</t>
  </si>
  <si>
    <t>Васильев Игорь Петрович</t>
  </si>
  <si>
    <t>Григорьева Мария Александровна</t>
  </si>
  <si>
    <t>Дмитриев Артём Николаевич</t>
  </si>
  <si>
    <t>Егорова Екатерина Дмитриевна</t>
  </si>
  <si>
    <t>Жуков Максим Андреевич</t>
  </si>
  <si>
    <t>Зайцева Ольга Игоревна</t>
  </si>
  <si>
    <t>Иванов Кирилл Владимирович</t>
  </si>
  <si>
    <t>Козлова Дарья Сергеевна</t>
  </si>
  <si>
    <t>Лебедев Антон Михайлович</t>
  </si>
  <si>
    <t>Морозова Виктория Олеговна</t>
  </si>
  <si>
    <t>Николаев Павел Романович</t>
  </si>
  <si>
    <t>Орлова Алиса Евгеньевна</t>
  </si>
  <si>
    <t>Петров Денис Александрович</t>
  </si>
  <si>
    <t>Романова Софья Павловна</t>
  </si>
  <si>
    <t>Сидоров Илья Дмитриевич</t>
  </si>
  <si>
    <t>Тимофеева Полина Андреевна</t>
  </si>
  <si>
    <t>Фёдоров Владислав Сергеевич</t>
  </si>
  <si>
    <t>Харитонова Елизавета Романовна</t>
  </si>
  <si>
    <t>ИТОГО / СРЕДНЕЕ:</t>
  </si>
  <si>
    <t>📊 СТАТИСТИКА УСПЕВАЕМОСТИ</t>
  </si>
  <si>
    <t>Распределение оценок по предметам</t>
  </si>
  <si>
    <t>Предмет</t>
  </si>
  <si>
    <t>Оценка 5</t>
  </si>
  <si>
    <t>Оценка 4</t>
  </si>
  <si>
    <t>Оценка 3</t>
  </si>
  <si>
    <t>Оценка 2</t>
  </si>
  <si>
    <t>Средняя</t>
  </si>
  <si>
    <t>Общая статистика группы</t>
  </si>
  <si>
    <t>Всего студентов:</t>
  </si>
  <si>
    <t>Отличников:</t>
  </si>
  <si>
    <t>Хорошистов:</t>
  </si>
  <si>
    <t>Удовлетворительно:</t>
  </si>
  <si>
    <t>Неуспевающих:</t>
  </si>
  <si>
    <t>Средний балл группы:</t>
  </si>
  <si>
    <t>Максимальный балл:</t>
  </si>
  <si>
    <t>Минимальный балл:</t>
  </si>
  <si>
    <t>Общий фонд стипендий:</t>
  </si>
  <si>
    <t>🏆 РЕЙТИНГ СТУДЕНТОВ</t>
  </si>
  <si>
    <t>Место</t>
  </si>
  <si>
    <t>⚠️ Требуют внимания</t>
  </si>
  <si>
    <t>📅 ПОСЕЩАЕМОСТЬ ЗА СЕМЕСТР</t>
  </si>
  <si>
    <t>Сентябрь</t>
  </si>
  <si>
    <t>Октябрь</t>
  </si>
  <si>
    <t>Ноябрь</t>
  </si>
  <si>
    <t>Декабрь</t>
  </si>
  <si>
    <t>Всего часов</t>
  </si>
  <si>
    <t>Пропущено</t>
  </si>
  <si>
    <t>% посещ.</t>
  </si>
  <si>
    <t>Допуск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</si>
</sst>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&quot; ₽&quot;"/>
  </numFmts>
  <fonts count="5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1"/>
      <color rgb="FFFFFFFF"/>
      <name val="Cambria"/>
      <charset val="1"/>
    </font>
    <font>
      <b/>
      <sz val="11"/>
      <name val="Cambria"/>
      <charset val="1"/>
    </font>
    <font>
      <b/>
      <sz val="12"/>
      <color rgb="FF1F4E79"/>
      <name val="Cambria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CCCCCC"/>
      </patternFill>
    </fill>
    <fill>
      <patternFill patternType="solid">
        <fgColor rgb="FFCD7F32"/>
        <bgColor rgb="FFFF8080"/>
      </patternFill>
    </fill>
    <fill>
      <patternFill patternType="solid">
        <fgColor rgb="FFC00000"/>
        <bgColor rgb="FF800000"/>
      </patternFill>
    </fill>
  </fills>
  <borders count="3">
    <border>
      <left/>
      <right/>
      <top/>
      <bottom/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Border="1"/>
    <xf numFmtId="0" fontId="1" fillId="2" borderId="0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Font="1" applyBorder="1"/>
    <xf numFmtId="2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3" fillId="0" borderId="0" xfId="0" applyFont="1"/>
    <xf numFmtId="2" fontId="3" fillId="0" borderId="2" xfId="0" applyNumberFormat="1" applyFont="1" applyBorder="1" applyAlignment="1">
      <alignment horizontal="center"/>
    </xf>
    <xf numFmtId="2" fontId="3" fillId="0" borderId="0" xfId="0" applyNumberFormat="1" applyFont="1"/>
    <xf numFmtId="164" fontId="3" fillId="0" borderId="0" xfId="0" applyNumberFormat="1" applyFont="1"/>
    <xf numFmtId="0" fontId="2" fillId="3" borderId="1" xfId="0" applyFont="1" applyFill="1" applyBorder="1"/>
    <xf numFmtId="2" fontId="0" fillId="0" borderId="2" xfId="0" applyNumberFormat="1" applyBorder="1"/>
    <xf numFmtId="164" fontId="0" fillId="0" borderId="2" xfId="0" applyNumberFormat="1" applyBorder="1"/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2" fillId="7" borderId="1" xfId="0" applyFont="1" applyFill="1" applyBorder="1"/>
    <xf numFmtId="0" fontId="2" fillId="3" borderId="1" xfId="0" applyFont="1" applyFill="1" applyBorder="1" applyAlignment="1">
      <alignment horizontal="center"/>
    </xf>
    <xf numFmtId="9" fontId="0" fillId="0" borderId="2" xfId="0" applyNumberFormat="1" applyBorder="1"/>
    <xf numFmtId="0" fontId="0" fillId="0" borderId="2" xfId="0" applyBorder="1"/>
  </cellXfs>
  <cellStyles count="1">
    <cellStyle name="Обычный" xfId="0" builtinId="0"/>
  </cellStyles>
  <dxfs count="1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D9D9D9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D700"/>
      <rgbColor rgb="FFFF9900"/>
      <rgbColor rgb="FFCD7F32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ru-RU" sz="1800" b="1" strike="noStrike" spc="-1">
                <a:solidFill>
                  <a:srgbClr val="000000"/>
                </a:solidFill>
                <a:latin typeface="Calibri"/>
              </a:rPr>
              <a:t>Средний балл по предметам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Статистика!$F$4</c:f>
              <c:strCache>
                <c:ptCount val="1"/>
                <c:pt idx="0">
                  <c:v>Средняя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Статистика!$A$5:$A$10</c:f>
              <c:strCache>
                <c:ptCount val="6"/>
                <c:pt idx="0">
                  <c:v>Математика</c:v>
                </c:pt>
                <c:pt idx="1">
                  <c:v>Физика</c:v>
                </c:pt>
                <c:pt idx="2">
                  <c:v>Программирование</c:v>
                </c:pt>
                <c:pt idx="3">
                  <c:v>Базы данных</c:v>
                </c:pt>
                <c:pt idx="4">
                  <c:v>Английский</c:v>
                </c:pt>
                <c:pt idx="5">
                  <c:v>Философия</c:v>
                </c:pt>
              </c:strCache>
            </c:strRef>
          </c:cat>
          <c:val>
            <c:numRef>
              <c:f>Статистика!$F$5:$F$10</c:f>
              <c:numCache>
                <c:formatCode>0.00</c:formatCode>
                <c:ptCount val="6"/>
                <c:pt idx="0">
                  <c:v>3.8</c:v>
                </c:pt>
                <c:pt idx="1">
                  <c:v>4.3</c:v>
                </c:pt>
                <c:pt idx="2">
                  <c:v>4.1500000000000004</c:v>
                </c:pt>
                <c:pt idx="3">
                  <c:v>3.85</c:v>
                </c:pt>
                <c:pt idx="4">
                  <c:v>4.05</c:v>
                </c:pt>
                <c:pt idx="5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9-4A6A-8E03-3FBBEFE24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12149"/>
        <c:axId val="66344529"/>
      </c:barChart>
      <c:catAx>
        <c:axId val="415121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66344529"/>
        <c:crosses val="autoZero"/>
        <c:auto val="1"/>
        <c:lblAlgn val="ctr"/>
        <c:lblOffset val="100"/>
        <c:noMultiLvlLbl val="0"/>
      </c:catAx>
      <c:valAx>
        <c:axId val="663445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ru-RU" sz="1000" b="1" strike="noStrike" spc="-1">
                    <a:solidFill>
                      <a:srgbClr val="000000"/>
                    </a:solidFill>
                    <a:latin typeface="Calibri"/>
                  </a:rPr>
                  <a:t>Балл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ru-RU"/>
          </a:p>
        </c:txPr>
        <c:crossAx val="415121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ru-RU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130680</xdr:rowOff>
    </xdr:from>
    <xdr:to>
      <xdr:col>15</xdr:col>
      <xdr:colOff>147600</xdr:colOff>
      <xdr:row>20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zoomScaleNormal="100" workbookViewId="0">
      <selection sqref="A1:L1"/>
    </sheetView>
  </sheetViews>
  <sheetFormatPr defaultColWidth="8.7109375" defaultRowHeight="15" x14ac:dyDescent="0.25"/>
  <cols>
    <col min="1" max="1" width="5" customWidth="1"/>
    <col min="2" max="2" width="35" customWidth="1"/>
    <col min="3" max="4" width="14" customWidth="1"/>
    <col min="5" max="5" width="18" customWidth="1"/>
    <col min="6" max="9" width="14" customWidth="1"/>
    <col min="10" max="10" width="12" customWidth="1"/>
    <col min="11" max="11" width="10" customWidth="1"/>
    <col min="12" max="12" width="12" customWidth="1"/>
  </cols>
  <sheetData>
    <row r="1" spans="1:12" ht="30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4.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x14ac:dyDescent="0.25">
      <c r="A3" s="4">
        <v>1</v>
      </c>
      <c r="B3" s="5" t="s">
        <v>13</v>
      </c>
      <c r="C3" s="4">
        <v>3</v>
      </c>
      <c r="D3" s="4">
        <v>4</v>
      </c>
      <c r="E3" s="4">
        <v>4</v>
      </c>
      <c r="F3" s="4">
        <v>4</v>
      </c>
      <c r="G3" s="4">
        <v>4</v>
      </c>
      <c r="H3" s="4">
        <v>5</v>
      </c>
      <c r="I3" s="6">
        <f t="shared" ref="I3:I22" si="0">ROUND(AVERAGE(C3:H3),2)</f>
        <v>4</v>
      </c>
      <c r="J3" s="4" t="str">
        <f t="shared" ref="J3:J22" si="1">IF(I3&gt;=4.5,"Отличник",IF(I3&gt;=3.5,"Хорошист",IF(I3&gt;=3,"Удовл.","Неуспев.")))</f>
        <v>Хорошист</v>
      </c>
      <c r="K3" s="4">
        <f t="shared" ref="K3:K22" si="2">RANK(I3,$I$3:$I$22,0)</f>
        <v>10</v>
      </c>
      <c r="L3" s="7">
        <f t="shared" ref="L3:L22" si="3">IF(I3&gt;=4.5,5000,IF(I3&gt;=4,3500,IF(I3&gt;=3,2000,0)))</f>
        <v>3500</v>
      </c>
    </row>
    <row r="4" spans="1:12" x14ac:dyDescent="0.25">
      <c r="A4" s="4">
        <v>2</v>
      </c>
      <c r="B4" s="5" t="s">
        <v>14</v>
      </c>
      <c r="C4" s="4">
        <v>5</v>
      </c>
      <c r="D4" s="4">
        <v>5</v>
      </c>
      <c r="E4" s="4">
        <v>4</v>
      </c>
      <c r="F4" s="4">
        <v>4</v>
      </c>
      <c r="G4" s="4">
        <v>4</v>
      </c>
      <c r="H4" s="4">
        <v>5</v>
      </c>
      <c r="I4" s="6">
        <f t="shared" si="0"/>
        <v>4.5</v>
      </c>
      <c r="J4" s="4" t="str">
        <f t="shared" si="1"/>
        <v>Отличник</v>
      </c>
      <c r="K4" s="4">
        <f t="shared" si="2"/>
        <v>2</v>
      </c>
      <c r="L4" s="7">
        <f t="shared" si="3"/>
        <v>5000</v>
      </c>
    </row>
    <row r="5" spans="1:12" x14ac:dyDescent="0.25">
      <c r="A5" s="4">
        <v>3</v>
      </c>
      <c r="B5" s="5" t="s">
        <v>15</v>
      </c>
      <c r="C5" s="4">
        <v>5</v>
      </c>
      <c r="D5" s="4">
        <v>5</v>
      </c>
      <c r="E5" s="4">
        <v>5</v>
      </c>
      <c r="F5" s="4">
        <v>3</v>
      </c>
      <c r="G5" s="4">
        <v>5</v>
      </c>
      <c r="H5" s="4">
        <v>5</v>
      </c>
      <c r="I5" s="6">
        <f t="shared" si="0"/>
        <v>4.67</v>
      </c>
      <c r="J5" s="4" t="str">
        <f t="shared" si="1"/>
        <v>Отличник</v>
      </c>
      <c r="K5" s="4">
        <f t="shared" si="2"/>
        <v>1</v>
      </c>
      <c r="L5" s="7">
        <f t="shared" si="3"/>
        <v>5000</v>
      </c>
    </row>
    <row r="6" spans="1:12" x14ac:dyDescent="0.25">
      <c r="A6" s="4">
        <v>4</v>
      </c>
      <c r="B6" s="5" t="s">
        <v>16</v>
      </c>
      <c r="C6" s="4">
        <v>2</v>
      </c>
      <c r="D6" s="4">
        <v>4</v>
      </c>
      <c r="E6" s="4">
        <v>4</v>
      </c>
      <c r="F6" s="4">
        <v>4</v>
      </c>
      <c r="G6" s="4">
        <v>3</v>
      </c>
      <c r="H6" s="4">
        <v>5</v>
      </c>
      <c r="I6" s="6">
        <f t="shared" si="0"/>
        <v>3.67</v>
      </c>
      <c r="J6" s="4" t="str">
        <f t="shared" si="1"/>
        <v>Хорошист</v>
      </c>
      <c r="K6" s="4">
        <f t="shared" si="2"/>
        <v>17</v>
      </c>
      <c r="L6" s="7">
        <f t="shared" si="3"/>
        <v>2000</v>
      </c>
    </row>
    <row r="7" spans="1:12" x14ac:dyDescent="0.25">
      <c r="A7" s="4">
        <v>5</v>
      </c>
      <c r="B7" s="5" t="s">
        <v>17</v>
      </c>
      <c r="C7" s="4">
        <v>3</v>
      </c>
      <c r="D7" s="4">
        <v>4</v>
      </c>
      <c r="E7" s="4">
        <v>5</v>
      </c>
      <c r="F7" s="4">
        <v>5</v>
      </c>
      <c r="G7" s="4">
        <v>4</v>
      </c>
      <c r="H7" s="4">
        <v>2</v>
      </c>
      <c r="I7" s="6">
        <f t="shared" si="0"/>
        <v>3.83</v>
      </c>
      <c r="J7" s="4" t="str">
        <f t="shared" si="1"/>
        <v>Хорошист</v>
      </c>
      <c r="K7" s="4">
        <f t="shared" si="2"/>
        <v>15</v>
      </c>
      <c r="L7" s="7">
        <f t="shared" si="3"/>
        <v>2000</v>
      </c>
    </row>
    <row r="8" spans="1:12" x14ac:dyDescent="0.25">
      <c r="A8" s="4">
        <v>6</v>
      </c>
      <c r="B8" s="5" t="s">
        <v>18</v>
      </c>
      <c r="C8" s="4">
        <v>4</v>
      </c>
      <c r="D8" s="4">
        <v>4</v>
      </c>
      <c r="E8" s="4">
        <v>3</v>
      </c>
      <c r="F8" s="4">
        <v>4</v>
      </c>
      <c r="G8" s="4">
        <v>4</v>
      </c>
      <c r="H8" s="4">
        <v>5</v>
      </c>
      <c r="I8" s="6">
        <f t="shared" si="0"/>
        <v>4</v>
      </c>
      <c r="J8" s="4" t="str">
        <f t="shared" si="1"/>
        <v>Хорошист</v>
      </c>
      <c r="K8" s="4">
        <f t="shared" si="2"/>
        <v>10</v>
      </c>
      <c r="L8" s="7">
        <f t="shared" si="3"/>
        <v>3500</v>
      </c>
    </row>
    <row r="9" spans="1:12" x14ac:dyDescent="0.25">
      <c r="A9" s="4">
        <v>7</v>
      </c>
      <c r="B9" s="5" t="s">
        <v>19</v>
      </c>
      <c r="C9" s="4">
        <v>4</v>
      </c>
      <c r="D9" s="4">
        <v>4</v>
      </c>
      <c r="E9" s="4">
        <v>3</v>
      </c>
      <c r="F9" s="4">
        <v>4</v>
      </c>
      <c r="G9" s="4">
        <v>3</v>
      </c>
      <c r="H9" s="4">
        <v>4</v>
      </c>
      <c r="I9" s="6">
        <f t="shared" si="0"/>
        <v>3.67</v>
      </c>
      <c r="J9" s="4" t="str">
        <f t="shared" si="1"/>
        <v>Хорошист</v>
      </c>
      <c r="K9" s="4">
        <f t="shared" si="2"/>
        <v>17</v>
      </c>
      <c r="L9" s="7">
        <f t="shared" si="3"/>
        <v>2000</v>
      </c>
    </row>
    <row r="10" spans="1:12" x14ac:dyDescent="0.25">
      <c r="A10" s="4">
        <v>8</v>
      </c>
      <c r="B10" s="5" t="s">
        <v>20</v>
      </c>
      <c r="C10" s="4">
        <v>3</v>
      </c>
      <c r="D10" s="4">
        <v>3</v>
      </c>
      <c r="E10" s="4">
        <v>5</v>
      </c>
      <c r="F10" s="4">
        <v>5</v>
      </c>
      <c r="G10" s="4">
        <v>4</v>
      </c>
      <c r="H10" s="4">
        <v>5</v>
      </c>
      <c r="I10" s="6">
        <f t="shared" si="0"/>
        <v>4.17</v>
      </c>
      <c r="J10" s="4" t="str">
        <f t="shared" si="1"/>
        <v>Хорошист</v>
      </c>
      <c r="K10" s="4">
        <f t="shared" si="2"/>
        <v>6</v>
      </c>
      <c r="L10" s="7">
        <f t="shared" si="3"/>
        <v>3500</v>
      </c>
    </row>
    <row r="11" spans="1:12" x14ac:dyDescent="0.25">
      <c r="A11" s="4">
        <v>9</v>
      </c>
      <c r="B11" s="5" t="s">
        <v>21</v>
      </c>
      <c r="C11" s="4">
        <v>5</v>
      </c>
      <c r="D11" s="4">
        <v>4</v>
      </c>
      <c r="E11" s="4">
        <v>5</v>
      </c>
      <c r="F11" s="4">
        <v>5</v>
      </c>
      <c r="G11" s="4">
        <v>3</v>
      </c>
      <c r="H11" s="4">
        <v>5</v>
      </c>
      <c r="I11" s="6">
        <f t="shared" si="0"/>
        <v>4.5</v>
      </c>
      <c r="J11" s="4" t="str">
        <f t="shared" si="1"/>
        <v>Отличник</v>
      </c>
      <c r="K11" s="4">
        <f t="shared" si="2"/>
        <v>2</v>
      </c>
      <c r="L11" s="7">
        <f t="shared" si="3"/>
        <v>5000</v>
      </c>
    </row>
    <row r="12" spans="1:12" x14ac:dyDescent="0.25">
      <c r="A12" s="4">
        <v>10</v>
      </c>
      <c r="B12" s="5" t="s">
        <v>22</v>
      </c>
      <c r="C12" s="4">
        <v>2</v>
      </c>
      <c r="D12" s="4">
        <v>5</v>
      </c>
      <c r="E12" s="4">
        <v>4</v>
      </c>
      <c r="F12" s="4">
        <v>4</v>
      </c>
      <c r="G12" s="4">
        <v>4</v>
      </c>
      <c r="H12" s="4">
        <v>2</v>
      </c>
      <c r="I12" s="6">
        <f t="shared" si="0"/>
        <v>3.5</v>
      </c>
      <c r="J12" s="4" t="str">
        <f t="shared" si="1"/>
        <v>Хорошист</v>
      </c>
      <c r="K12" s="4">
        <f t="shared" si="2"/>
        <v>19</v>
      </c>
      <c r="L12" s="7">
        <f t="shared" si="3"/>
        <v>2000</v>
      </c>
    </row>
    <row r="13" spans="1:12" x14ac:dyDescent="0.25">
      <c r="A13" s="4">
        <v>11</v>
      </c>
      <c r="B13" s="5" t="s">
        <v>23</v>
      </c>
      <c r="C13" s="4">
        <v>5</v>
      </c>
      <c r="D13" s="4">
        <v>5</v>
      </c>
      <c r="E13" s="4">
        <v>4</v>
      </c>
      <c r="F13" s="4">
        <v>4</v>
      </c>
      <c r="G13" s="4">
        <v>5</v>
      </c>
      <c r="H13" s="4">
        <v>4</v>
      </c>
      <c r="I13" s="6">
        <f t="shared" si="0"/>
        <v>4.5</v>
      </c>
      <c r="J13" s="4" t="str">
        <f t="shared" si="1"/>
        <v>Отличник</v>
      </c>
      <c r="K13" s="4">
        <f t="shared" si="2"/>
        <v>2</v>
      </c>
      <c r="L13" s="7">
        <f t="shared" si="3"/>
        <v>5000</v>
      </c>
    </row>
    <row r="14" spans="1:12" x14ac:dyDescent="0.25">
      <c r="A14" s="4">
        <v>12</v>
      </c>
      <c r="B14" s="5" t="s">
        <v>24</v>
      </c>
      <c r="C14" s="4">
        <v>4</v>
      </c>
      <c r="D14" s="4">
        <v>4</v>
      </c>
      <c r="E14" s="4">
        <v>4</v>
      </c>
      <c r="F14" s="4">
        <v>5</v>
      </c>
      <c r="G14" s="4">
        <v>4</v>
      </c>
      <c r="H14" s="4">
        <v>4</v>
      </c>
      <c r="I14" s="6">
        <f t="shared" si="0"/>
        <v>4.17</v>
      </c>
      <c r="J14" s="4" t="str">
        <f t="shared" si="1"/>
        <v>Хорошист</v>
      </c>
      <c r="K14" s="4">
        <f t="shared" si="2"/>
        <v>6</v>
      </c>
      <c r="L14" s="7">
        <f t="shared" si="3"/>
        <v>3500</v>
      </c>
    </row>
    <row r="15" spans="1:12" x14ac:dyDescent="0.25">
      <c r="A15" s="4">
        <v>13</v>
      </c>
      <c r="B15" s="5" t="s">
        <v>25</v>
      </c>
      <c r="C15" s="4">
        <v>4</v>
      </c>
      <c r="D15" s="4">
        <v>4</v>
      </c>
      <c r="E15" s="4">
        <v>4</v>
      </c>
      <c r="F15" s="4">
        <v>3</v>
      </c>
      <c r="G15" s="4">
        <v>5</v>
      </c>
      <c r="H15" s="4">
        <v>4</v>
      </c>
      <c r="I15" s="6">
        <f t="shared" si="0"/>
        <v>4</v>
      </c>
      <c r="J15" s="4" t="str">
        <f t="shared" si="1"/>
        <v>Хорошист</v>
      </c>
      <c r="K15" s="4">
        <f t="shared" si="2"/>
        <v>10</v>
      </c>
      <c r="L15" s="7">
        <f t="shared" si="3"/>
        <v>3500</v>
      </c>
    </row>
    <row r="16" spans="1:12" x14ac:dyDescent="0.25">
      <c r="A16" s="4">
        <v>14</v>
      </c>
      <c r="B16" s="5" t="s">
        <v>26</v>
      </c>
      <c r="C16" s="4">
        <v>4</v>
      </c>
      <c r="D16" s="4">
        <v>5</v>
      </c>
      <c r="E16" s="4">
        <v>5</v>
      </c>
      <c r="F16" s="4">
        <v>3</v>
      </c>
      <c r="G16" s="4">
        <v>4</v>
      </c>
      <c r="H16" s="4">
        <v>5</v>
      </c>
      <c r="I16" s="6">
        <f t="shared" si="0"/>
        <v>4.33</v>
      </c>
      <c r="J16" s="4" t="str">
        <f t="shared" si="1"/>
        <v>Хорошист</v>
      </c>
      <c r="K16" s="4">
        <f t="shared" si="2"/>
        <v>5</v>
      </c>
      <c r="L16" s="7">
        <f t="shared" si="3"/>
        <v>3500</v>
      </c>
    </row>
    <row r="17" spans="1:12" x14ac:dyDescent="0.25">
      <c r="A17" s="4">
        <v>15</v>
      </c>
      <c r="B17" s="5" t="s">
        <v>27</v>
      </c>
      <c r="C17" s="4">
        <v>5</v>
      </c>
      <c r="D17" s="4">
        <v>5</v>
      </c>
      <c r="E17" s="4">
        <v>5</v>
      </c>
      <c r="F17" s="4">
        <v>2</v>
      </c>
      <c r="G17" s="4">
        <v>4</v>
      </c>
      <c r="H17" s="4">
        <v>4</v>
      </c>
      <c r="I17" s="6">
        <f t="shared" si="0"/>
        <v>4.17</v>
      </c>
      <c r="J17" s="4" t="str">
        <f t="shared" si="1"/>
        <v>Хорошист</v>
      </c>
      <c r="K17" s="4">
        <f t="shared" si="2"/>
        <v>6</v>
      </c>
      <c r="L17" s="7">
        <f t="shared" si="3"/>
        <v>3500</v>
      </c>
    </row>
    <row r="18" spans="1:12" x14ac:dyDescent="0.25">
      <c r="A18" s="4">
        <v>16</v>
      </c>
      <c r="B18" s="5" t="s">
        <v>28</v>
      </c>
      <c r="C18" s="4">
        <v>4</v>
      </c>
      <c r="D18" s="4">
        <v>3</v>
      </c>
      <c r="E18" s="4">
        <v>4</v>
      </c>
      <c r="F18" s="4">
        <v>5</v>
      </c>
      <c r="G18" s="4">
        <v>4</v>
      </c>
      <c r="H18" s="4">
        <v>4</v>
      </c>
      <c r="I18" s="6">
        <f t="shared" si="0"/>
        <v>4</v>
      </c>
      <c r="J18" s="4" t="str">
        <f t="shared" si="1"/>
        <v>Хорошист</v>
      </c>
      <c r="K18" s="4">
        <f t="shared" si="2"/>
        <v>10</v>
      </c>
      <c r="L18" s="7">
        <f t="shared" si="3"/>
        <v>3500</v>
      </c>
    </row>
    <row r="19" spans="1:12" x14ac:dyDescent="0.25">
      <c r="A19" s="4">
        <v>17</v>
      </c>
      <c r="B19" s="5" t="s">
        <v>29</v>
      </c>
      <c r="C19" s="4">
        <v>5</v>
      </c>
      <c r="D19" s="4">
        <v>4</v>
      </c>
      <c r="E19" s="4">
        <v>4</v>
      </c>
      <c r="F19" s="4">
        <v>3</v>
      </c>
      <c r="G19" s="4">
        <v>5</v>
      </c>
      <c r="H19" s="4">
        <v>3</v>
      </c>
      <c r="I19" s="6">
        <f t="shared" si="0"/>
        <v>4</v>
      </c>
      <c r="J19" s="4" t="str">
        <f t="shared" si="1"/>
        <v>Хорошист</v>
      </c>
      <c r="K19" s="4">
        <f t="shared" si="2"/>
        <v>10</v>
      </c>
      <c r="L19" s="7">
        <f t="shared" si="3"/>
        <v>3500</v>
      </c>
    </row>
    <row r="20" spans="1:12" x14ac:dyDescent="0.25">
      <c r="A20" s="4">
        <v>18</v>
      </c>
      <c r="B20" s="5" t="s">
        <v>30</v>
      </c>
      <c r="C20" s="4">
        <v>3</v>
      </c>
      <c r="D20" s="4">
        <v>5</v>
      </c>
      <c r="E20" s="4">
        <v>4</v>
      </c>
      <c r="F20" s="4">
        <v>3</v>
      </c>
      <c r="G20" s="4">
        <v>3</v>
      </c>
      <c r="H20" s="4">
        <v>5</v>
      </c>
      <c r="I20" s="6">
        <f t="shared" si="0"/>
        <v>3.83</v>
      </c>
      <c r="J20" s="4" t="str">
        <f t="shared" si="1"/>
        <v>Хорошист</v>
      </c>
      <c r="K20" s="4">
        <f t="shared" si="2"/>
        <v>15</v>
      </c>
      <c r="L20" s="7">
        <f t="shared" si="3"/>
        <v>2000</v>
      </c>
    </row>
    <row r="21" spans="1:12" x14ac:dyDescent="0.25">
      <c r="A21" s="4">
        <v>19</v>
      </c>
      <c r="B21" s="5" t="s">
        <v>31</v>
      </c>
      <c r="C21" s="4">
        <v>4</v>
      </c>
      <c r="D21" s="4">
        <v>4</v>
      </c>
      <c r="E21" s="4">
        <v>4</v>
      </c>
      <c r="F21" s="4">
        <v>4</v>
      </c>
      <c r="G21" s="4">
        <v>5</v>
      </c>
      <c r="H21" s="4">
        <v>4</v>
      </c>
      <c r="I21" s="6">
        <f t="shared" si="0"/>
        <v>4.17</v>
      </c>
      <c r="J21" s="4" t="str">
        <f t="shared" si="1"/>
        <v>Хорошист</v>
      </c>
      <c r="K21" s="4">
        <f t="shared" si="2"/>
        <v>6</v>
      </c>
      <c r="L21" s="7">
        <f t="shared" si="3"/>
        <v>3500</v>
      </c>
    </row>
    <row r="22" spans="1:12" x14ac:dyDescent="0.25">
      <c r="A22" s="4">
        <v>20</v>
      </c>
      <c r="B22" s="5" t="s">
        <v>32</v>
      </c>
      <c r="C22" s="4">
        <v>2</v>
      </c>
      <c r="D22" s="4">
        <v>5</v>
      </c>
      <c r="E22" s="4">
        <v>3</v>
      </c>
      <c r="F22" s="4">
        <v>3</v>
      </c>
      <c r="G22" s="4">
        <v>4</v>
      </c>
      <c r="H22" s="4">
        <v>4</v>
      </c>
      <c r="I22" s="6">
        <f t="shared" si="0"/>
        <v>3.5</v>
      </c>
      <c r="J22" s="4" t="str">
        <f t="shared" si="1"/>
        <v>Хорошист</v>
      </c>
      <c r="K22" s="4">
        <f t="shared" si="2"/>
        <v>19</v>
      </c>
      <c r="L22" s="7">
        <f t="shared" si="3"/>
        <v>2000</v>
      </c>
    </row>
    <row r="24" spans="1:12" x14ac:dyDescent="0.25">
      <c r="B24" s="8" t="s">
        <v>33</v>
      </c>
      <c r="C24" s="9">
        <f t="shared" ref="C24:I24" si="4">ROUND(AVERAGE(C3:C22),2)</f>
        <v>3.8</v>
      </c>
      <c r="D24" s="9">
        <f t="shared" si="4"/>
        <v>4.3</v>
      </c>
      <c r="E24" s="9">
        <f t="shared" si="4"/>
        <v>4.1500000000000004</v>
      </c>
      <c r="F24" s="9">
        <f t="shared" si="4"/>
        <v>3.85</v>
      </c>
      <c r="G24" s="9">
        <f t="shared" si="4"/>
        <v>4.05</v>
      </c>
      <c r="H24" s="9">
        <f t="shared" si="4"/>
        <v>4.2</v>
      </c>
      <c r="I24" s="10">
        <f t="shared" si="4"/>
        <v>4.0599999999999996</v>
      </c>
      <c r="L24" s="11">
        <f>SUM(L3:L22)</f>
        <v>67000</v>
      </c>
    </row>
  </sheetData>
  <mergeCells count="1">
    <mergeCell ref="A1:L1"/>
  </mergeCells>
  <conditionalFormatting sqref="C3:C22">
    <cfRule type="cellIs" dxfId="14" priority="2" operator="equal">
      <formula>5</formula>
    </cfRule>
    <cfRule type="cellIs" dxfId="13" priority="3" operator="equal">
      <formula>2</formula>
    </cfRule>
  </conditionalFormatting>
  <conditionalFormatting sqref="D3:D22">
    <cfRule type="cellIs" dxfId="12" priority="4" operator="equal">
      <formula>5</formula>
    </cfRule>
    <cfRule type="cellIs" dxfId="11" priority="5" operator="equal">
      <formula>2</formula>
    </cfRule>
  </conditionalFormatting>
  <conditionalFormatting sqref="E3:E22">
    <cfRule type="cellIs" dxfId="10" priority="6" operator="equal">
      <formula>5</formula>
    </cfRule>
    <cfRule type="cellIs" dxfId="9" priority="7" operator="equal">
      <formula>2</formula>
    </cfRule>
  </conditionalFormatting>
  <conditionalFormatting sqref="F3:F22">
    <cfRule type="cellIs" dxfId="8" priority="8" operator="equal">
      <formula>5</formula>
    </cfRule>
    <cfRule type="cellIs" dxfId="7" priority="9" operator="equal">
      <formula>2</formula>
    </cfRule>
  </conditionalFormatting>
  <conditionalFormatting sqref="G3:G22">
    <cfRule type="cellIs" dxfId="6" priority="10" operator="equal">
      <formula>5</formula>
    </cfRule>
    <cfRule type="cellIs" dxfId="5" priority="11" operator="equal">
      <formula>2</formula>
    </cfRule>
  </conditionalFormatting>
  <conditionalFormatting sqref="H3:H22">
    <cfRule type="cellIs" dxfId="4" priority="12" operator="equal">
      <formula>5</formula>
    </cfRule>
    <cfRule type="cellIs" dxfId="3" priority="13" operator="equal">
      <formula>2</formula>
    </cfRule>
  </conditionalFormatting>
  <conditionalFormatting sqref="J3:J22">
    <cfRule type="expression" dxfId="2" priority="14">
      <formula>$J3="Отличник"</formula>
    </cfRule>
    <cfRule type="expression" dxfId="1" priority="15">
      <formula>$J3="Неуспев."</formula>
    </cfRule>
  </conditionalFormatting>
  <conditionalFormatting sqref="I3:I22">
    <cfRule type="dataBar" priority="16">
      <dataBar>
        <cfvo type="num" val="2"/>
        <cfvo type="num" val="5"/>
        <color rgb="FF2E75B6"/>
      </dataBar>
      <extLst>
        <ext xmlns:x14="http://schemas.microsoft.com/office/spreadsheetml/2009/9/main" uri="{B025F937-C7B1-47D3-B67F-A62EFF666E3E}">
          <x14:id>{92A64470-FCCA-422D-A1B0-8DD6A593908D}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A64470-FCCA-422D-A1B0-8DD6A593908D}">
            <x14:dataBar axisPosition="none">
              <x14:cfvo type="num">
                <xm:f>2</xm:f>
              </x14:cfvo>
              <x14:cfvo type="num">
                <xm:f>5</xm:f>
              </x14:cfvo>
              <x14:negativeFillColor rgb="FF2E75B6"/>
            </x14:dataBar>
          </x14:cfRule>
          <xm:sqref>I3:I22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zoomScaleNormal="100" workbookViewId="0">
      <selection sqref="A1:F1"/>
    </sheetView>
  </sheetViews>
  <sheetFormatPr defaultColWidth="8.7109375" defaultRowHeight="15" x14ac:dyDescent="0.25"/>
  <cols>
    <col min="1" max="1" width="22" customWidth="1"/>
    <col min="2" max="6" width="12" customWidth="1"/>
  </cols>
  <sheetData>
    <row r="1" spans="1:6" ht="20.25" x14ac:dyDescent="0.3">
      <c r="A1" s="2" t="s">
        <v>34</v>
      </c>
      <c r="B1" s="2"/>
      <c r="C1" s="2"/>
      <c r="D1" s="2"/>
      <c r="E1" s="2"/>
      <c r="F1" s="2"/>
    </row>
    <row r="3" spans="1:6" ht="15.75" x14ac:dyDescent="0.25">
      <c r="A3" s="1" t="s">
        <v>35</v>
      </c>
      <c r="B3" s="1"/>
      <c r="C3" s="1"/>
      <c r="D3" s="1"/>
      <c r="E3" s="1"/>
      <c r="F3" s="1"/>
    </row>
    <row r="4" spans="1:6" x14ac:dyDescent="0.25">
      <c r="A4" s="12" t="s">
        <v>36</v>
      </c>
      <c r="B4" s="12" t="s">
        <v>37</v>
      </c>
      <c r="C4" s="12" t="s">
        <v>38</v>
      </c>
      <c r="D4" s="12" t="s">
        <v>39</v>
      </c>
      <c r="E4" s="12" t="s">
        <v>40</v>
      </c>
      <c r="F4" s="12" t="s">
        <v>41</v>
      </c>
    </row>
    <row r="5" spans="1:6" x14ac:dyDescent="0.25">
      <c r="A5" s="5" t="s">
        <v>3</v>
      </c>
      <c r="B5" s="5">
        <f>COUNTIF('Журнал оценок'!C3:C22,5)</f>
        <v>6</v>
      </c>
      <c r="C5" s="5">
        <f>COUNTIF('Журнал оценок'!C3:C22,4)</f>
        <v>7</v>
      </c>
      <c r="D5" s="5">
        <f>COUNTIF('Журнал оценок'!C3:C22,3)</f>
        <v>4</v>
      </c>
      <c r="E5" s="5">
        <f>COUNTIF('Журнал оценок'!C3:C22,2)</f>
        <v>3</v>
      </c>
      <c r="F5" s="13">
        <f>ROUND(AVERAGE('Журнал оценок'!C3:C22),2)</f>
        <v>3.8</v>
      </c>
    </row>
    <row r="6" spans="1:6" x14ac:dyDescent="0.25">
      <c r="A6" s="5" t="s">
        <v>4</v>
      </c>
      <c r="B6" s="5">
        <f>COUNTIF('Журнал оценок'!D3:D22,5)</f>
        <v>8</v>
      </c>
      <c r="C6" s="5">
        <f>COUNTIF('Журнал оценок'!D3:D22,4)</f>
        <v>10</v>
      </c>
      <c r="D6" s="5">
        <f>COUNTIF('Журнал оценок'!D3:D22,3)</f>
        <v>2</v>
      </c>
      <c r="E6" s="5">
        <f>COUNTIF('Журнал оценок'!D3:D22,2)</f>
        <v>0</v>
      </c>
      <c r="F6" s="13">
        <f>ROUND(AVERAGE('Журнал оценок'!D3:D22),2)</f>
        <v>4.3</v>
      </c>
    </row>
    <row r="7" spans="1:6" x14ac:dyDescent="0.25">
      <c r="A7" s="5" t="s">
        <v>5</v>
      </c>
      <c r="B7" s="5">
        <f>COUNTIF('Журнал оценок'!E3:E22,5)</f>
        <v>6</v>
      </c>
      <c r="C7" s="5">
        <f>COUNTIF('Журнал оценок'!E3:E22,4)</f>
        <v>11</v>
      </c>
      <c r="D7" s="5">
        <f>COUNTIF('Журнал оценок'!E3:E22,3)</f>
        <v>3</v>
      </c>
      <c r="E7" s="5">
        <f>COUNTIF('Журнал оценок'!E3:E22,2)</f>
        <v>0</v>
      </c>
      <c r="F7" s="13">
        <f>ROUND(AVERAGE('Журнал оценок'!E3:E22),2)</f>
        <v>4.1500000000000004</v>
      </c>
    </row>
    <row r="8" spans="1:6" x14ac:dyDescent="0.25">
      <c r="A8" s="5" t="s">
        <v>6</v>
      </c>
      <c r="B8" s="5">
        <f>COUNTIF('Журнал оценок'!F3:F22,5)</f>
        <v>5</v>
      </c>
      <c r="C8" s="5">
        <f>COUNTIF('Журнал оценок'!F3:F22,4)</f>
        <v>8</v>
      </c>
      <c r="D8" s="5">
        <f>COUNTIF('Журнал оценок'!F3:F22,3)</f>
        <v>6</v>
      </c>
      <c r="E8" s="5">
        <f>COUNTIF('Журнал оценок'!F3:F22,2)</f>
        <v>1</v>
      </c>
      <c r="F8" s="13">
        <f>ROUND(AVERAGE('Журнал оценок'!F3:F22),2)</f>
        <v>3.85</v>
      </c>
    </row>
    <row r="9" spans="1:6" x14ac:dyDescent="0.25">
      <c r="A9" s="5" t="s">
        <v>7</v>
      </c>
      <c r="B9" s="5">
        <f>COUNTIF('Журнал оценок'!G3:G22,5)</f>
        <v>5</v>
      </c>
      <c r="C9" s="5">
        <f>COUNTIF('Журнал оценок'!G3:G22,4)</f>
        <v>11</v>
      </c>
      <c r="D9" s="5">
        <f>COUNTIF('Журнал оценок'!G3:G22,3)</f>
        <v>4</v>
      </c>
      <c r="E9" s="5">
        <f>COUNTIF('Журнал оценок'!G3:G22,2)</f>
        <v>0</v>
      </c>
      <c r="F9" s="13">
        <f>ROUND(AVERAGE('Журнал оценок'!G3:G22),2)</f>
        <v>4.05</v>
      </c>
    </row>
    <row r="10" spans="1:6" x14ac:dyDescent="0.25">
      <c r="A10" s="5" t="s">
        <v>8</v>
      </c>
      <c r="B10" s="5">
        <f>COUNTIF('Журнал оценок'!H3:H22,5)</f>
        <v>9</v>
      </c>
      <c r="C10" s="5">
        <f>COUNTIF('Журнал оценок'!H3:H22,4)</f>
        <v>8</v>
      </c>
      <c r="D10" s="5">
        <f>COUNTIF('Журнал оценок'!H3:H22,3)</f>
        <v>1</v>
      </c>
      <c r="E10" s="5">
        <f>COUNTIF('Журнал оценок'!H3:H22,2)</f>
        <v>2</v>
      </c>
      <c r="F10" s="13">
        <f>ROUND(AVERAGE('Журнал оценок'!H3:H22),2)</f>
        <v>4.2</v>
      </c>
    </row>
    <row r="13" spans="1:6" ht="15.75" x14ac:dyDescent="0.25">
      <c r="A13" s="1" t="s">
        <v>42</v>
      </c>
      <c r="B13" s="1"/>
      <c r="C13" s="1"/>
    </row>
    <row r="14" spans="1:6" x14ac:dyDescent="0.25">
      <c r="A14" s="5" t="s">
        <v>43</v>
      </c>
      <c r="B14" s="5">
        <f>COUNTA('Журнал оценок'!B3:B22)</f>
        <v>20</v>
      </c>
    </row>
    <row r="15" spans="1:6" x14ac:dyDescent="0.25">
      <c r="A15" s="5" t="s">
        <v>44</v>
      </c>
      <c r="B15" s="5">
        <f>COUNTIF('Журнал оценок'!J3:J22,"Отличник")</f>
        <v>4</v>
      </c>
    </row>
    <row r="16" spans="1:6" x14ac:dyDescent="0.25">
      <c r="A16" s="5" t="s">
        <v>45</v>
      </c>
      <c r="B16" s="5">
        <f>COUNTIF('Журнал оценок'!J3:J22,"Хорошист")</f>
        <v>16</v>
      </c>
    </row>
    <row r="17" spans="1:2" x14ac:dyDescent="0.25">
      <c r="A17" s="5" t="s">
        <v>46</v>
      </c>
      <c r="B17" s="5">
        <f>COUNTIF('Журнал оценок'!J3:J22,"Удовл.")</f>
        <v>0</v>
      </c>
    </row>
    <row r="18" spans="1:2" x14ac:dyDescent="0.25">
      <c r="A18" s="5" t="s">
        <v>47</v>
      </c>
      <c r="B18" s="5">
        <f>COUNTIF('Журнал оценок'!J3:J22,"Неуспев.")</f>
        <v>0</v>
      </c>
    </row>
    <row r="19" spans="1:2" x14ac:dyDescent="0.25">
      <c r="A19" s="5" t="s">
        <v>48</v>
      </c>
      <c r="B19" s="13">
        <f>ROUND(AVERAGE('Журнал оценок'!I3:I22),2)</f>
        <v>4.0599999999999996</v>
      </c>
    </row>
    <row r="20" spans="1:2" x14ac:dyDescent="0.25">
      <c r="A20" s="5" t="s">
        <v>49</v>
      </c>
      <c r="B20" s="13">
        <f>MAX('Журнал оценок'!I3:I22)</f>
        <v>4.67</v>
      </c>
    </row>
    <row r="21" spans="1:2" x14ac:dyDescent="0.25">
      <c r="A21" s="5" t="s">
        <v>50</v>
      </c>
      <c r="B21" s="13">
        <f>MIN('Журнал оценок'!I3:I22)</f>
        <v>3.5</v>
      </c>
    </row>
    <row r="22" spans="1:2" x14ac:dyDescent="0.25">
      <c r="A22" s="5" t="s">
        <v>51</v>
      </c>
      <c r="B22" s="14">
        <f>SUM('Журнал оценок'!L3:L22)</f>
        <v>67000</v>
      </c>
    </row>
  </sheetData>
  <mergeCells count="3">
    <mergeCell ref="A1:F1"/>
    <mergeCell ref="A3:F3"/>
    <mergeCell ref="A13:C1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zoomScaleNormal="100" workbookViewId="0">
      <selection activeCell="C19" sqref="C19"/>
    </sheetView>
  </sheetViews>
  <sheetFormatPr defaultColWidth="8.7109375" defaultRowHeight="15" x14ac:dyDescent="0.25"/>
  <cols>
    <col min="1" max="1" width="8" customWidth="1"/>
    <col min="2" max="2" width="35" customWidth="1"/>
    <col min="3" max="3" width="17.85546875" customWidth="1"/>
    <col min="4" max="5" width="12" customWidth="1"/>
  </cols>
  <sheetData>
    <row r="1" spans="1:5" ht="20.25" x14ac:dyDescent="0.3">
      <c r="A1" s="2" t="s">
        <v>52</v>
      </c>
      <c r="B1" s="2"/>
      <c r="C1" s="2"/>
      <c r="D1" s="2"/>
      <c r="E1" s="2"/>
    </row>
    <row r="2" spans="1:5" x14ac:dyDescent="0.25">
      <c r="A2" s="12" t="s">
        <v>53</v>
      </c>
      <c r="B2" s="12" t="s">
        <v>2</v>
      </c>
      <c r="C2" s="12" t="s">
        <v>9</v>
      </c>
      <c r="D2" s="12" t="s">
        <v>10</v>
      </c>
      <c r="E2" s="12" t="s">
        <v>12</v>
      </c>
    </row>
    <row r="3" spans="1:5" x14ac:dyDescent="0.25">
      <c r="A3" s="15">
        <v>1</v>
      </c>
      <c r="B3" s="5" t="str">
        <f>INDEX('Журнал оценок'!B3:B22,MATCH(LARGE('Журнал оценок'!I3:I22,1),'Журнал оценок'!I3:I22,0))</f>
        <v>Васильев Игорь Петрович</v>
      </c>
      <c r="C3" s="13">
        <f>LARGE('Журнал оценок'!I3:I22,1)</f>
        <v>4.67</v>
      </c>
      <c r="D3" s="5" t="str">
        <f>IF(C3&gt;=4.5,"Отличник",IF(C3&gt;=3.5,"Хорошист","Удовл."))</f>
        <v>Отличник</v>
      </c>
      <c r="E3" s="14">
        <f>IF(C3&gt;=4.5,5000,IF(C3&gt;=4,3500,IF(C3&gt;=3,2000,0)))</f>
        <v>5000</v>
      </c>
    </row>
    <row r="4" spans="1:5" x14ac:dyDescent="0.25">
      <c r="A4" s="16">
        <v>2</v>
      </c>
      <c r="B4" s="5" t="str">
        <f>INDEX('Журнал оценок'!B3:B22,MATCH(LARGE('Журнал оценок'!I3:I22,2),'Журнал оценок'!I3:I22,0))</f>
        <v>Белова Анна Викторовна</v>
      </c>
      <c r="C4" s="13">
        <f>LARGE('Журнал оценок'!I3:I22,2)</f>
        <v>4.5</v>
      </c>
      <c r="D4" s="5" t="str">
        <f>IF(C4&gt;=4.5,"Отличник",IF(C4&gt;=3.5,"Хорошист","Удовл."))</f>
        <v>Отличник</v>
      </c>
      <c r="E4" s="14">
        <f>IF(C4&gt;=4.5,5000,IF(C4&gt;=4,3500,IF(C4&gt;=3,2000,0)))</f>
        <v>5000</v>
      </c>
    </row>
    <row r="5" spans="1:5" x14ac:dyDescent="0.25">
      <c r="A5" s="17">
        <v>3</v>
      </c>
      <c r="B5" s="5" t="str">
        <f>INDEX('Журнал оценок'!B3:B22,MATCH(LARGE('Журнал оценок'!I3:I22,3),'Журнал оценок'!I3:I22,0))</f>
        <v>Белова Анна Викторовна</v>
      </c>
      <c r="C5" s="13">
        <f>LARGE('Журнал оценок'!I3:I22,3)</f>
        <v>4.5</v>
      </c>
      <c r="D5" s="5" t="str">
        <f>IF(C5&gt;=4.5,"Отличник",IF(C5&gt;=3.5,"Хорошист","Удовл."))</f>
        <v>Отличник</v>
      </c>
      <c r="E5" s="14">
        <f>IF(C5&gt;=4.5,5000,IF(C5&gt;=4,3500,IF(C5&gt;=3,2000,0)))</f>
        <v>5000</v>
      </c>
    </row>
    <row r="6" spans="1:5" x14ac:dyDescent="0.25">
      <c r="A6" s="4">
        <v>4</v>
      </c>
      <c r="B6" s="5" t="str">
        <f>INDEX('Журнал оценок'!B3:B22,MATCH(LARGE('Журнал оценок'!I3:I22,4),'Журнал оценок'!I3:I22,0))</f>
        <v>Белова Анна Викторовна</v>
      </c>
      <c r="C6" s="13">
        <f>LARGE('Журнал оценок'!I3:I22,4)</f>
        <v>4.5</v>
      </c>
      <c r="D6" s="5" t="str">
        <f>IF(C6&gt;=4.5,"Отличник",IF(C6&gt;=3.5,"Хорошист","Удовл."))</f>
        <v>Отличник</v>
      </c>
      <c r="E6" s="14">
        <f>IF(C6&gt;=4.5,5000,IF(C6&gt;=4,3500,IF(C6&gt;=3,2000,0)))</f>
        <v>5000</v>
      </c>
    </row>
    <row r="7" spans="1:5" x14ac:dyDescent="0.25">
      <c r="A7" s="4">
        <v>5</v>
      </c>
      <c r="B7" s="5" t="str">
        <f>INDEX('Журнал оценок'!B3:B22,MATCH(LARGE('Журнал оценок'!I3:I22,5),'Журнал оценок'!I3:I22,0))</f>
        <v>Орлова Алиса Евгеньевна</v>
      </c>
      <c r="C7" s="13">
        <f>LARGE('Журнал оценок'!I3:I22,5)</f>
        <v>4.33</v>
      </c>
      <c r="D7" s="5" t="str">
        <f>IF(C7&gt;=4.5,"Отличник",IF(C7&gt;=3.5,"Хорошист","Удовл."))</f>
        <v>Хорошист</v>
      </c>
      <c r="E7" s="14">
        <f>IF(C7&gt;=4.5,5000,IF(C7&gt;=4,3500,IF(C7&gt;=3,2000,0)))</f>
        <v>3500</v>
      </c>
    </row>
    <row r="10" spans="1:5" ht="15.75" x14ac:dyDescent="0.25">
      <c r="A10" s="1" t="s">
        <v>54</v>
      </c>
      <c r="B10" s="1"/>
      <c r="C10" s="1"/>
    </row>
    <row r="11" spans="1:5" x14ac:dyDescent="0.25">
      <c r="A11" s="18" t="s">
        <v>53</v>
      </c>
      <c r="B11" s="18" t="s">
        <v>2</v>
      </c>
      <c r="C11" s="18" t="s">
        <v>9</v>
      </c>
    </row>
    <row r="12" spans="1:5" x14ac:dyDescent="0.25">
      <c r="A12" s="5">
        <v>20</v>
      </c>
      <c r="B12" s="5" t="str">
        <f>INDEX('Журнал оценок'!B3:B22,MATCH(SMALL('Журнал оценок'!I3:I22,1),'Журнал оценок'!I3:I22,0))</f>
        <v>Козлова Дарья Сергеевна</v>
      </c>
      <c r="C12" s="13">
        <f>SMALL('Журнал оценок'!I3:I22,1)</f>
        <v>3.5</v>
      </c>
    </row>
    <row r="13" spans="1:5" x14ac:dyDescent="0.25">
      <c r="A13" s="5">
        <v>19</v>
      </c>
      <c r="B13" s="5" t="str">
        <f>INDEX('Журнал оценок'!B3:B22,MATCH(SMALL('Журнал оценок'!I3:I22,2),'Журнал оценок'!I3:I22,0))</f>
        <v>Козлова Дарья Сергеевна</v>
      </c>
      <c r="C13" s="13">
        <f>SMALL('Журнал оценок'!I3:I22,2)</f>
        <v>3.5</v>
      </c>
    </row>
    <row r="14" spans="1:5" x14ac:dyDescent="0.25">
      <c r="A14" s="5">
        <v>18</v>
      </c>
      <c r="B14" s="5" t="str">
        <f>INDEX('Журнал оценок'!B3:B22,MATCH(SMALL('Журнал оценок'!I3:I22,3),'Журнал оценок'!I3:I22,0))</f>
        <v>Григорьева Мария Александровна</v>
      </c>
      <c r="C14" s="13">
        <f>SMALL('Журнал оценок'!I3:I22,3)</f>
        <v>3.67</v>
      </c>
    </row>
  </sheetData>
  <mergeCells count="2">
    <mergeCell ref="A1:E1"/>
    <mergeCell ref="A10:C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2"/>
  <sheetViews>
    <sheetView zoomScaleNormal="100" workbookViewId="0">
      <selection sqref="A1:J1"/>
    </sheetView>
  </sheetViews>
  <sheetFormatPr defaultColWidth="8.7109375" defaultRowHeight="15" x14ac:dyDescent="0.25"/>
  <cols>
    <col min="1" max="1" width="5" customWidth="1"/>
    <col min="2" max="2" width="35" customWidth="1"/>
    <col min="3" max="6" width="12" customWidth="1"/>
    <col min="7" max="7" width="14" customWidth="1"/>
    <col min="8" max="9" width="12" customWidth="1"/>
    <col min="10" max="10" width="14" customWidth="1"/>
  </cols>
  <sheetData>
    <row r="1" spans="1:10" ht="20.25" x14ac:dyDescent="0.3">
      <c r="A1" s="2" t="s">
        <v>55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19" t="s">
        <v>1</v>
      </c>
      <c r="B2" s="19" t="s">
        <v>2</v>
      </c>
      <c r="C2" s="19" t="s">
        <v>56</v>
      </c>
      <c r="D2" s="19" t="s">
        <v>57</v>
      </c>
      <c r="E2" s="19" t="s">
        <v>58</v>
      </c>
      <c r="F2" s="19" t="s">
        <v>59</v>
      </c>
      <c r="G2" s="19" t="s">
        <v>60</v>
      </c>
      <c r="H2" s="19" t="s">
        <v>61</v>
      </c>
      <c r="I2" s="19" t="s">
        <v>62</v>
      </c>
      <c r="J2" s="19" t="s">
        <v>63</v>
      </c>
    </row>
    <row r="3" spans="1:10" x14ac:dyDescent="0.25">
      <c r="A3" s="5">
        <v>1</v>
      </c>
      <c r="B3" s="5" t="s">
        <v>13</v>
      </c>
      <c r="C3" s="5">
        <v>29</v>
      </c>
      <c r="D3" s="5">
        <v>36</v>
      </c>
      <c r="E3" s="5">
        <v>35</v>
      </c>
      <c r="F3" s="5">
        <v>35</v>
      </c>
      <c r="G3" s="5">
        <f t="shared" ref="G3:G22" si="0">SUM(C3:F3)</f>
        <v>135</v>
      </c>
      <c r="H3" s="5">
        <f t="shared" ref="H3:H22" si="1">144-G3</f>
        <v>9</v>
      </c>
      <c r="I3" s="20">
        <f t="shared" ref="I3:I22" si="2">G3/144</f>
        <v>0.9375</v>
      </c>
      <c r="J3" s="21" t="str">
        <f t="shared" ref="J3:J22" si="3">IF(I3&gt;=0.75,"Допущен","Не допущен")</f>
        <v>Допущен</v>
      </c>
    </row>
    <row r="4" spans="1:10" x14ac:dyDescent="0.25">
      <c r="A4" s="5">
        <v>2</v>
      </c>
      <c r="B4" s="5" t="s">
        <v>14</v>
      </c>
      <c r="C4" s="5">
        <v>30</v>
      </c>
      <c r="D4" s="5">
        <v>33</v>
      </c>
      <c r="E4" s="5">
        <v>29</v>
      </c>
      <c r="F4" s="5">
        <v>31</v>
      </c>
      <c r="G4" s="5">
        <f t="shared" si="0"/>
        <v>123</v>
      </c>
      <c r="H4" s="5">
        <f t="shared" si="1"/>
        <v>21</v>
      </c>
      <c r="I4" s="20">
        <f t="shared" si="2"/>
        <v>0.85416666666666663</v>
      </c>
      <c r="J4" s="21" t="str">
        <f t="shared" si="3"/>
        <v>Допущен</v>
      </c>
    </row>
    <row r="5" spans="1:10" x14ac:dyDescent="0.25">
      <c r="A5" s="5">
        <v>3</v>
      </c>
      <c r="B5" s="5" t="s">
        <v>15</v>
      </c>
      <c r="C5" s="5">
        <v>30</v>
      </c>
      <c r="D5" s="5">
        <v>32</v>
      </c>
      <c r="E5" s="5">
        <v>28</v>
      </c>
      <c r="F5" s="5">
        <v>32</v>
      </c>
      <c r="G5" s="5">
        <f t="shared" si="0"/>
        <v>122</v>
      </c>
      <c r="H5" s="5">
        <f t="shared" si="1"/>
        <v>22</v>
      </c>
      <c r="I5" s="20">
        <f t="shared" si="2"/>
        <v>0.84722222222222221</v>
      </c>
      <c r="J5" s="21" t="str">
        <f t="shared" si="3"/>
        <v>Допущен</v>
      </c>
    </row>
    <row r="6" spans="1:10" x14ac:dyDescent="0.25">
      <c r="A6" s="5">
        <v>4</v>
      </c>
      <c r="B6" s="5" t="s">
        <v>16</v>
      </c>
      <c r="C6" s="5">
        <v>34</v>
      </c>
      <c r="D6" s="5">
        <v>31</v>
      </c>
      <c r="E6" s="5">
        <v>34</v>
      </c>
      <c r="F6" s="5">
        <v>29</v>
      </c>
      <c r="G6" s="5">
        <f t="shared" si="0"/>
        <v>128</v>
      </c>
      <c r="H6" s="5">
        <f t="shared" si="1"/>
        <v>16</v>
      </c>
      <c r="I6" s="20">
        <f t="shared" si="2"/>
        <v>0.88888888888888884</v>
      </c>
      <c r="J6" s="21" t="str">
        <f t="shared" si="3"/>
        <v>Допущен</v>
      </c>
    </row>
    <row r="7" spans="1:10" x14ac:dyDescent="0.25">
      <c r="A7" s="5">
        <v>5</v>
      </c>
      <c r="B7" s="5" t="s">
        <v>17</v>
      </c>
      <c r="C7" s="5">
        <v>32</v>
      </c>
      <c r="D7" s="5">
        <v>28</v>
      </c>
      <c r="E7" s="5">
        <v>31</v>
      </c>
      <c r="F7" s="5">
        <v>36</v>
      </c>
      <c r="G7" s="5">
        <f t="shared" si="0"/>
        <v>127</v>
      </c>
      <c r="H7" s="5">
        <f t="shared" si="1"/>
        <v>17</v>
      </c>
      <c r="I7" s="20">
        <f t="shared" si="2"/>
        <v>0.88194444444444442</v>
      </c>
      <c r="J7" s="21" t="str">
        <f t="shared" si="3"/>
        <v>Допущен</v>
      </c>
    </row>
    <row r="8" spans="1:10" x14ac:dyDescent="0.25">
      <c r="A8" s="5">
        <v>6</v>
      </c>
      <c r="B8" s="5" t="s">
        <v>18</v>
      </c>
      <c r="C8" s="5">
        <v>31</v>
      </c>
      <c r="D8" s="5">
        <v>30</v>
      </c>
      <c r="E8" s="5">
        <v>33</v>
      </c>
      <c r="F8" s="5">
        <v>30</v>
      </c>
      <c r="G8" s="5">
        <f t="shared" si="0"/>
        <v>124</v>
      </c>
      <c r="H8" s="5">
        <f t="shared" si="1"/>
        <v>20</v>
      </c>
      <c r="I8" s="20">
        <f t="shared" si="2"/>
        <v>0.86111111111111116</v>
      </c>
      <c r="J8" s="21" t="str">
        <f t="shared" si="3"/>
        <v>Допущен</v>
      </c>
    </row>
    <row r="9" spans="1:10" x14ac:dyDescent="0.25">
      <c r="A9" s="5">
        <v>7</v>
      </c>
      <c r="B9" s="5" t="s">
        <v>19</v>
      </c>
      <c r="C9" s="5">
        <v>29</v>
      </c>
      <c r="D9" s="5">
        <v>36</v>
      </c>
      <c r="E9" s="5">
        <v>35</v>
      </c>
      <c r="F9" s="5">
        <v>33</v>
      </c>
      <c r="G9" s="5">
        <f t="shared" si="0"/>
        <v>133</v>
      </c>
      <c r="H9" s="5">
        <f t="shared" si="1"/>
        <v>11</v>
      </c>
      <c r="I9" s="20">
        <f t="shared" si="2"/>
        <v>0.92361111111111116</v>
      </c>
      <c r="J9" s="21" t="str">
        <f t="shared" si="3"/>
        <v>Допущен</v>
      </c>
    </row>
    <row r="10" spans="1:10" x14ac:dyDescent="0.25">
      <c r="A10" s="5">
        <v>8</v>
      </c>
      <c r="B10" s="5" t="s">
        <v>20</v>
      </c>
      <c r="C10" s="5">
        <v>30</v>
      </c>
      <c r="D10" s="5">
        <v>35</v>
      </c>
      <c r="E10" s="5">
        <v>35</v>
      </c>
      <c r="F10" s="5">
        <v>28</v>
      </c>
      <c r="G10" s="5">
        <f t="shared" si="0"/>
        <v>128</v>
      </c>
      <c r="H10" s="5">
        <f t="shared" si="1"/>
        <v>16</v>
      </c>
      <c r="I10" s="20">
        <f t="shared" si="2"/>
        <v>0.88888888888888884</v>
      </c>
      <c r="J10" s="21" t="str">
        <f t="shared" si="3"/>
        <v>Допущен</v>
      </c>
    </row>
    <row r="11" spans="1:10" x14ac:dyDescent="0.25">
      <c r="A11" s="5">
        <v>9</v>
      </c>
      <c r="B11" s="5" t="s">
        <v>21</v>
      </c>
      <c r="C11" s="5">
        <v>28</v>
      </c>
      <c r="D11" s="5">
        <v>31</v>
      </c>
      <c r="E11" s="5">
        <v>29</v>
      </c>
      <c r="F11" s="5">
        <v>31</v>
      </c>
      <c r="G11" s="5">
        <f t="shared" si="0"/>
        <v>119</v>
      </c>
      <c r="H11" s="5">
        <f t="shared" si="1"/>
        <v>25</v>
      </c>
      <c r="I11" s="20">
        <f t="shared" si="2"/>
        <v>0.82638888888888884</v>
      </c>
      <c r="J11" s="21" t="str">
        <f t="shared" si="3"/>
        <v>Допущен</v>
      </c>
    </row>
    <row r="12" spans="1:10" x14ac:dyDescent="0.25">
      <c r="A12" s="5">
        <v>10</v>
      </c>
      <c r="B12" s="5" t="s">
        <v>22</v>
      </c>
      <c r="C12" s="5">
        <v>34</v>
      </c>
      <c r="D12" s="5">
        <v>32</v>
      </c>
      <c r="E12" s="5">
        <v>36</v>
      </c>
      <c r="F12" s="5">
        <v>33</v>
      </c>
      <c r="G12" s="5">
        <f t="shared" si="0"/>
        <v>135</v>
      </c>
      <c r="H12" s="5">
        <f t="shared" si="1"/>
        <v>9</v>
      </c>
      <c r="I12" s="20">
        <f t="shared" si="2"/>
        <v>0.9375</v>
      </c>
      <c r="J12" s="21" t="str">
        <f t="shared" si="3"/>
        <v>Допущен</v>
      </c>
    </row>
    <row r="13" spans="1:10" x14ac:dyDescent="0.25">
      <c r="A13" s="5">
        <v>11</v>
      </c>
      <c r="B13" s="5" t="s">
        <v>23</v>
      </c>
      <c r="C13" s="5">
        <v>28</v>
      </c>
      <c r="D13" s="5">
        <v>30</v>
      </c>
      <c r="E13" s="5">
        <v>35</v>
      </c>
      <c r="F13" s="5">
        <v>29</v>
      </c>
      <c r="G13" s="5">
        <f t="shared" si="0"/>
        <v>122</v>
      </c>
      <c r="H13" s="5">
        <f t="shared" si="1"/>
        <v>22</v>
      </c>
      <c r="I13" s="20">
        <f t="shared" si="2"/>
        <v>0.84722222222222221</v>
      </c>
      <c r="J13" s="21" t="str">
        <f t="shared" si="3"/>
        <v>Допущен</v>
      </c>
    </row>
    <row r="14" spans="1:10" x14ac:dyDescent="0.25">
      <c r="A14" s="5">
        <v>12</v>
      </c>
      <c r="B14" s="5" t="s">
        <v>24</v>
      </c>
      <c r="C14" s="5">
        <v>34</v>
      </c>
      <c r="D14" s="5">
        <v>36</v>
      </c>
      <c r="E14" s="5">
        <v>30</v>
      </c>
      <c r="F14" s="5">
        <v>31</v>
      </c>
      <c r="G14" s="5">
        <f t="shared" si="0"/>
        <v>131</v>
      </c>
      <c r="H14" s="5">
        <f t="shared" si="1"/>
        <v>13</v>
      </c>
      <c r="I14" s="20">
        <f t="shared" si="2"/>
        <v>0.90972222222222221</v>
      </c>
      <c r="J14" s="21" t="str">
        <f t="shared" si="3"/>
        <v>Допущен</v>
      </c>
    </row>
    <row r="15" spans="1:10" x14ac:dyDescent="0.25">
      <c r="A15" s="5">
        <v>13</v>
      </c>
      <c r="B15" s="5" t="s">
        <v>25</v>
      </c>
      <c r="C15" s="5">
        <v>31</v>
      </c>
      <c r="D15" s="5">
        <v>29</v>
      </c>
      <c r="E15" s="5">
        <v>28</v>
      </c>
      <c r="F15" s="5">
        <v>31</v>
      </c>
      <c r="G15" s="5">
        <f t="shared" si="0"/>
        <v>119</v>
      </c>
      <c r="H15" s="5">
        <f t="shared" si="1"/>
        <v>25</v>
      </c>
      <c r="I15" s="20">
        <f t="shared" si="2"/>
        <v>0.82638888888888884</v>
      </c>
      <c r="J15" s="21" t="str">
        <f t="shared" si="3"/>
        <v>Допущен</v>
      </c>
    </row>
    <row r="16" spans="1:10" x14ac:dyDescent="0.25">
      <c r="A16" s="5">
        <v>14</v>
      </c>
      <c r="B16" s="5" t="s">
        <v>26</v>
      </c>
      <c r="C16" s="5">
        <v>28</v>
      </c>
      <c r="D16" s="5">
        <v>36</v>
      </c>
      <c r="E16" s="5">
        <v>32</v>
      </c>
      <c r="F16" s="5">
        <v>30</v>
      </c>
      <c r="G16" s="5">
        <f t="shared" si="0"/>
        <v>126</v>
      </c>
      <c r="H16" s="5">
        <f t="shared" si="1"/>
        <v>18</v>
      </c>
      <c r="I16" s="20">
        <f t="shared" si="2"/>
        <v>0.875</v>
      </c>
      <c r="J16" s="21" t="str">
        <f t="shared" si="3"/>
        <v>Допущен</v>
      </c>
    </row>
    <row r="17" spans="1:10" x14ac:dyDescent="0.25">
      <c r="A17" s="5">
        <v>15</v>
      </c>
      <c r="B17" s="5" t="s">
        <v>27</v>
      </c>
      <c r="C17" s="5">
        <v>31</v>
      </c>
      <c r="D17" s="5">
        <v>35</v>
      </c>
      <c r="E17" s="5">
        <v>33</v>
      </c>
      <c r="F17" s="5">
        <v>35</v>
      </c>
      <c r="G17" s="5">
        <f t="shared" si="0"/>
        <v>134</v>
      </c>
      <c r="H17" s="5">
        <f t="shared" si="1"/>
        <v>10</v>
      </c>
      <c r="I17" s="20">
        <f t="shared" si="2"/>
        <v>0.93055555555555558</v>
      </c>
      <c r="J17" s="21" t="str">
        <f t="shared" si="3"/>
        <v>Допущен</v>
      </c>
    </row>
    <row r="18" spans="1:10" x14ac:dyDescent="0.25">
      <c r="A18" s="5">
        <v>16</v>
      </c>
      <c r="B18" s="5" t="s">
        <v>28</v>
      </c>
      <c r="C18" s="5">
        <v>29</v>
      </c>
      <c r="D18" s="5">
        <v>28</v>
      </c>
      <c r="E18" s="5">
        <v>34</v>
      </c>
      <c r="F18" s="5">
        <v>36</v>
      </c>
      <c r="G18" s="5">
        <f t="shared" si="0"/>
        <v>127</v>
      </c>
      <c r="H18" s="5">
        <f t="shared" si="1"/>
        <v>17</v>
      </c>
      <c r="I18" s="20">
        <f t="shared" si="2"/>
        <v>0.88194444444444442</v>
      </c>
      <c r="J18" s="21" t="str">
        <f t="shared" si="3"/>
        <v>Допущен</v>
      </c>
    </row>
    <row r="19" spans="1:10" x14ac:dyDescent="0.25">
      <c r="A19" s="5">
        <v>17</v>
      </c>
      <c r="B19" s="5" t="s">
        <v>29</v>
      </c>
      <c r="C19" s="5">
        <v>29</v>
      </c>
      <c r="D19" s="5">
        <v>34</v>
      </c>
      <c r="E19" s="5">
        <v>29</v>
      </c>
      <c r="F19" s="5">
        <v>28</v>
      </c>
      <c r="G19" s="5">
        <f t="shared" si="0"/>
        <v>120</v>
      </c>
      <c r="H19" s="5">
        <f t="shared" si="1"/>
        <v>24</v>
      </c>
      <c r="I19" s="20">
        <f t="shared" si="2"/>
        <v>0.83333333333333337</v>
      </c>
      <c r="J19" s="21" t="str">
        <f t="shared" si="3"/>
        <v>Допущен</v>
      </c>
    </row>
    <row r="20" spans="1:10" x14ac:dyDescent="0.25">
      <c r="A20" s="5">
        <v>18</v>
      </c>
      <c r="B20" s="5" t="s">
        <v>30</v>
      </c>
      <c r="C20" s="5">
        <v>32</v>
      </c>
      <c r="D20" s="5">
        <v>34</v>
      </c>
      <c r="E20" s="5">
        <v>36</v>
      </c>
      <c r="F20" s="5">
        <v>32</v>
      </c>
      <c r="G20" s="5">
        <f t="shared" si="0"/>
        <v>134</v>
      </c>
      <c r="H20" s="5">
        <f t="shared" si="1"/>
        <v>10</v>
      </c>
      <c r="I20" s="20">
        <f t="shared" si="2"/>
        <v>0.93055555555555558</v>
      </c>
      <c r="J20" s="21" t="str">
        <f t="shared" si="3"/>
        <v>Допущен</v>
      </c>
    </row>
    <row r="21" spans="1:10" x14ac:dyDescent="0.25">
      <c r="A21" s="5">
        <v>19</v>
      </c>
      <c r="B21" s="5" t="s">
        <v>31</v>
      </c>
      <c r="C21" s="5">
        <v>35</v>
      </c>
      <c r="D21" s="5">
        <v>28</v>
      </c>
      <c r="E21" s="5">
        <v>35</v>
      </c>
      <c r="F21" s="5">
        <v>28</v>
      </c>
      <c r="G21" s="5">
        <f t="shared" si="0"/>
        <v>126</v>
      </c>
      <c r="H21" s="5">
        <f t="shared" si="1"/>
        <v>18</v>
      </c>
      <c r="I21" s="20">
        <f t="shared" si="2"/>
        <v>0.875</v>
      </c>
      <c r="J21" s="21" t="str">
        <f t="shared" si="3"/>
        <v>Допущен</v>
      </c>
    </row>
    <row r="22" spans="1:10" x14ac:dyDescent="0.25">
      <c r="A22" s="5">
        <v>20</v>
      </c>
      <c r="B22" s="5" t="s">
        <v>32</v>
      </c>
      <c r="C22" s="5">
        <v>28</v>
      </c>
      <c r="D22" s="5">
        <v>35</v>
      </c>
      <c r="E22" s="5">
        <v>29</v>
      </c>
      <c r="F22" s="5">
        <v>29</v>
      </c>
      <c r="G22" s="5">
        <f t="shared" si="0"/>
        <v>121</v>
      </c>
      <c r="H22" s="5">
        <f t="shared" si="1"/>
        <v>23</v>
      </c>
      <c r="I22" s="20">
        <f t="shared" si="2"/>
        <v>0.84027777777777779</v>
      </c>
      <c r="J22" s="21" t="str">
        <f t="shared" si="3"/>
        <v>Допущен</v>
      </c>
    </row>
  </sheetData>
  <mergeCells count="1">
    <mergeCell ref="A1:J1"/>
  </mergeCells>
  <conditionalFormatting sqref="I3:I22">
    <cfRule type="colorScale" priority="2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J3:J22">
    <cfRule type="expression" dxfId="0" priority="3">
      <formula>$J3="Не допущен"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Журнал оценок</vt:lpstr>
      <vt:lpstr>Статистика</vt:lpstr>
      <vt:lpstr>Рейтинг</vt:lpstr>
      <vt:lpstr>Посещаемость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Пользователь</cp:lastModifiedBy>
  <cp:revision>1</cp:revision>
  <dcterms:created xsi:type="dcterms:W3CDTF">2026-02-01T10:21:09Z</dcterms:created>
  <dcterms:modified xsi:type="dcterms:W3CDTF">2026-02-01T10:23:01Z</dcterms:modified>
  <dc:language>en-US</dc:language>
</cp:coreProperties>
</file>