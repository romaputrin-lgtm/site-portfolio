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портфолио\excel\"/>
    </mc:Choice>
  </mc:AlternateContent>
  <xr:revisionPtr revIDLastSave="0" documentId="8_{2911DE00-E587-4224-9F32-098FE630D491}" xr6:coauthVersionLast="37" xr6:coauthVersionMax="37" xr10:uidLastSave="{00000000-0000-0000-0000-000000000000}"/>
  <bookViews>
    <workbookView xWindow="0" yWindow="0" windowWidth="16380" windowHeight="8190" tabRatio="500" activeTab="3" xr2:uid="{00000000-000D-0000-FFFF-FFFF00000000}"/>
  </bookViews>
  <sheets>
    <sheet name="План проекта" sheetId="1" r:id="rId1"/>
    <sheet name="Диаграмма Ганта" sheetId="2" r:id="rId2"/>
    <sheet name="Бюджет" sheetId="3" r:id="rId3"/>
    <sheet name="Команда" sheetId="4" r:id="rId4"/>
  </sheet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" i="4" l="1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G3" i="4"/>
  <c r="F3" i="4"/>
  <c r="F11" i="4" s="1"/>
  <c r="B17" i="3"/>
  <c r="B16" i="3"/>
  <c r="B15" i="3"/>
  <c r="B14" i="3"/>
  <c r="E10" i="3"/>
  <c r="D10" i="3"/>
  <c r="C10" i="3"/>
  <c r="B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J34" i="1"/>
  <c r="K32" i="1"/>
  <c r="I32" i="1"/>
  <c r="G32" i="1"/>
  <c r="K31" i="1"/>
  <c r="I31" i="1"/>
  <c r="G31" i="1"/>
  <c r="K30" i="1"/>
  <c r="I30" i="1"/>
  <c r="G30" i="1"/>
  <c r="K29" i="1"/>
  <c r="I29" i="1"/>
  <c r="G29" i="1"/>
  <c r="K28" i="1"/>
  <c r="I28" i="1"/>
  <c r="G28" i="1"/>
  <c r="K27" i="1"/>
  <c r="I27" i="1"/>
  <c r="G27" i="1"/>
  <c r="K26" i="1"/>
  <c r="I26" i="1"/>
  <c r="G26" i="1"/>
  <c r="K25" i="1"/>
  <c r="I25" i="1"/>
  <c r="G25" i="1"/>
  <c r="K24" i="1"/>
  <c r="I24" i="1"/>
  <c r="G24" i="1"/>
  <c r="K23" i="1"/>
  <c r="I23" i="1"/>
  <c r="G23" i="1"/>
  <c r="K22" i="1"/>
  <c r="I22" i="1"/>
  <c r="G22" i="1"/>
  <c r="K21" i="1"/>
  <c r="I21" i="1"/>
  <c r="G21" i="1"/>
  <c r="K20" i="1"/>
  <c r="I20" i="1"/>
  <c r="G20" i="1"/>
  <c r="K19" i="1"/>
  <c r="I19" i="1"/>
  <c r="G19" i="1"/>
  <c r="K18" i="1"/>
  <c r="I18" i="1"/>
  <c r="G18" i="1"/>
  <c r="K17" i="1"/>
  <c r="I17" i="1"/>
  <c r="G17" i="1"/>
  <c r="K16" i="1"/>
  <c r="I16" i="1"/>
  <c r="G16" i="1"/>
  <c r="K15" i="1"/>
  <c r="I15" i="1"/>
  <c r="G15" i="1"/>
  <c r="K14" i="1"/>
  <c r="I14" i="1"/>
  <c r="G14" i="1"/>
  <c r="K13" i="1"/>
  <c r="I13" i="1"/>
  <c r="G13" i="1"/>
  <c r="K12" i="1"/>
  <c r="K34" i="1" s="1"/>
  <c r="I12" i="1"/>
  <c r="G12" i="1"/>
</calcChain>
</file>

<file path=xl/sharedStrings.xml><?xml version="1.0" encoding="utf-8"?>
<sst xmlns="http://schemas.openxmlformats.org/spreadsheetml/2006/main" count="203" uniqueCount="141">
  <si>
    <t>📋 ПЛАН ПРОЕКТА: РАЗРАБОТКА МОБИЛЬНОГО ПРИЛОЖЕНИЯ</t>
  </si>
  <si>
    <t>Информация о проекте</t>
  </si>
  <si>
    <t>Название:</t>
  </si>
  <si>
    <t>Мобильное приложение "FitTracker"</t>
  </si>
  <si>
    <t>Менеджер:</t>
  </si>
  <si>
    <t>Иванов А.С.</t>
  </si>
  <si>
    <t>Дата начала:</t>
  </si>
  <si>
    <t>01.02.2025</t>
  </si>
  <si>
    <t>Плановая дата завершения:</t>
  </si>
  <si>
    <t>30.04.2025</t>
  </si>
  <si>
    <t>Бюджет:</t>
  </si>
  <si>
    <t>1 500 000 ₽</t>
  </si>
  <si>
    <t>📝 СПИСОК ЗАДАЧ</t>
  </si>
  <si>
    <t>ID</t>
  </si>
  <si>
    <t>Задача</t>
  </si>
  <si>
    <t>Ответственный</t>
  </si>
  <si>
    <t>Приоритет</t>
  </si>
  <si>
    <t>Дата начала</t>
  </si>
  <si>
    <t>Дата окончания</t>
  </si>
  <si>
    <t>Длительность</t>
  </si>
  <si>
    <t>Прогресс</t>
  </si>
  <si>
    <t>Статус</t>
  </si>
  <si>
    <t>Бюджет</t>
  </si>
  <si>
    <t>Затрачено</t>
  </si>
  <si>
    <t>1</t>
  </si>
  <si>
    <t>Анализ требований</t>
  </si>
  <si>
    <t>Петров К.</t>
  </si>
  <si>
    <t>Высокий</t>
  </si>
  <si>
    <t>1.1</t>
  </si>
  <si>
    <t xml:space="preserve">  Сбор требований от заказчика</t>
  </si>
  <si>
    <t>1.2</t>
  </si>
  <si>
    <t xml:space="preserve">  Анализ конкурентов</t>
  </si>
  <si>
    <t>Сидорова М.</t>
  </si>
  <si>
    <t>Средний</t>
  </si>
  <si>
    <t>1.3</t>
  </si>
  <si>
    <t xml:space="preserve">  Составление ТЗ</t>
  </si>
  <si>
    <t>2</t>
  </si>
  <si>
    <t>Проектирование</t>
  </si>
  <si>
    <t>Козлов Д.</t>
  </si>
  <si>
    <t>2.1</t>
  </si>
  <si>
    <t xml:space="preserve">  Архитектура приложения</t>
  </si>
  <si>
    <t>2.2</t>
  </si>
  <si>
    <t xml:space="preserve">  Дизайн интерфейса (UI/UX)</t>
  </si>
  <si>
    <t>Николаева А.</t>
  </si>
  <si>
    <t>2.3</t>
  </si>
  <si>
    <t xml:space="preserve">  Проектирование БД</t>
  </si>
  <si>
    <t>3</t>
  </si>
  <si>
    <t>Разработка</t>
  </si>
  <si>
    <t>Команда Dev</t>
  </si>
  <si>
    <t>3.1</t>
  </si>
  <si>
    <t xml:space="preserve">  Backend API</t>
  </si>
  <si>
    <t>Фёдоров И.</t>
  </si>
  <si>
    <t>3.2</t>
  </si>
  <si>
    <t xml:space="preserve">  Frontend (iOS)</t>
  </si>
  <si>
    <t>Морозов В.</t>
  </si>
  <si>
    <t>3.3</t>
  </si>
  <si>
    <t xml:space="preserve">  Frontend (Android)</t>
  </si>
  <si>
    <t>Белов С.</t>
  </si>
  <si>
    <t>3.4</t>
  </si>
  <si>
    <t xml:space="preserve">  Интеграция сервисов</t>
  </si>
  <si>
    <t>4</t>
  </si>
  <si>
    <t>Тестирование</t>
  </si>
  <si>
    <t>Тестировщики</t>
  </si>
  <si>
    <t>4.1</t>
  </si>
  <si>
    <t xml:space="preserve">  Unit-тесты</t>
  </si>
  <si>
    <t>4.2</t>
  </si>
  <si>
    <t xml:space="preserve">  Интеграционное тестирование</t>
  </si>
  <si>
    <t>QA Team</t>
  </si>
  <si>
    <t>4.3</t>
  </si>
  <si>
    <t xml:space="preserve">  UAT (приёмочное)</t>
  </si>
  <si>
    <t>5</t>
  </si>
  <si>
    <t>Запуск</t>
  </si>
  <si>
    <t>Все</t>
  </si>
  <si>
    <t>Критический</t>
  </si>
  <si>
    <t>5.1</t>
  </si>
  <si>
    <t xml:space="preserve">  Публикация в App Store</t>
  </si>
  <si>
    <t>5.2</t>
  </si>
  <si>
    <t xml:space="preserve">  Публикация в Google Play</t>
  </si>
  <si>
    <t>5.3</t>
  </si>
  <si>
    <t xml:space="preserve">  Маркетинговая кампания</t>
  </si>
  <si>
    <t>Маркетинг</t>
  </si>
  <si>
    <t>ИТОГО:</t>
  </si>
  <si>
    <t>📊 ДИАГРАММА ГАНТА</t>
  </si>
  <si>
    <t>01.02</t>
  </si>
  <si>
    <t>08.02</t>
  </si>
  <si>
    <t>15.02</t>
  </si>
  <si>
    <t>22.02</t>
  </si>
  <si>
    <t>01.03</t>
  </si>
  <si>
    <t>08.03</t>
  </si>
  <si>
    <t>15.03</t>
  </si>
  <si>
    <t>22.03</t>
  </si>
  <si>
    <t>29.03</t>
  </si>
  <si>
    <t>05.04</t>
  </si>
  <si>
    <t>12.04</t>
  </si>
  <si>
    <t>19.04</t>
  </si>
  <si>
    <t>26.04</t>
  </si>
  <si>
    <t>█</t>
  </si>
  <si>
    <t>Разработка Backend</t>
  </si>
  <si>
    <t>Разработка iOS</t>
  </si>
  <si>
    <t>Разработка Android</t>
  </si>
  <si>
    <t>Интеграция</t>
  </si>
  <si>
    <t>Легенда:</t>
  </si>
  <si>
    <t>Завершено</t>
  </si>
  <si>
    <t>В работе</t>
  </si>
  <si>
    <t>Не начато</t>
  </si>
  <si>
    <t>💰 БЮДЖЕТ ПРОЕКТА</t>
  </si>
  <si>
    <t>Статья расходов</t>
  </si>
  <si>
    <t>План</t>
  </si>
  <si>
    <t>Факт</t>
  </si>
  <si>
    <t>Отклонение</t>
  </si>
  <si>
    <t>% исполнения</t>
  </si>
  <si>
    <t>Анализ и проектирование</t>
  </si>
  <si>
    <t>Запуск и маркетинг</t>
  </si>
  <si>
    <t>ИТОГО</t>
  </si>
  <si>
    <t>📊 Сводка по бюджету</t>
  </si>
  <si>
    <t>Общий бюджет:</t>
  </si>
  <si>
    <t>Израсходовано:</t>
  </si>
  <si>
    <t>Остаток:</t>
  </si>
  <si>
    <t>% освоения:</t>
  </si>
  <si>
    <t>👥 КОМАНДА ПРОЕКТА</t>
  </si>
  <si>
    <t>№</t>
  </si>
  <si>
    <t>ФИО</t>
  </si>
  <si>
    <t>Роль</t>
  </si>
  <si>
    <t>Ставка/час</t>
  </si>
  <si>
    <t>Часов в проекте</t>
  </si>
  <si>
    <t>Зарплата</t>
  </si>
  <si>
    <t>Загрузка</t>
  </si>
  <si>
    <t>Петров Константин</t>
  </si>
  <si>
    <t>Менеджер проекта</t>
  </si>
  <si>
    <t>Козлов Дмитрий</t>
  </si>
  <si>
    <t>Архитектор</t>
  </si>
  <si>
    <t>Николаева Анна</t>
  </si>
  <si>
    <t>UI/UX дизайнер</t>
  </si>
  <si>
    <t>Фёдоров Игорь</t>
  </si>
  <si>
    <t>Backend разработчик</t>
  </si>
  <si>
    <t>Морозов Виктор</t>
  </si>
  <si>
    <t>iOS разработчик</t>
  </si>
  <si>
    <t>Белов Сергей</t>
  </si>
  <si>
    <t>Android разработчик</t>
  </si>
  <si>
    <t>Сидорова Мария</t>
  </si>
  <si>
    <t>Бизнес-аналитик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</si>
</sst>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&quot; ₽&quot;"/>
  </numFmts>
  <fonts count="9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2"/>
      <color rgb="FF375623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b/>
      <sz val="9"/>
      <name val="Cambria"/>
      <charset val="1"/>
    </font>
    <font>
      <sz val="11"/>
      <color rgb="FF70AD47"/>
      <name val="Cambria"/>
      <charset val="1"/>
    </font>
    <font>
      <sz val="11"/>
      <color rgb="FFFFC000"/>
      <name val="Cambria"/>
      <charset val="1"/>
    </font>
    <font>
      <sz val="11"/>
      <color rgb="FFCCCCCC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375623"/>
        <bgColor rgb="FF333300"/>
      </patternFill>
    </fill>
    <fill>
      <patternFill patternType="solid">
        <fgColor rgb="FF548235"/>
        <bgColor rgb="FF3399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9F9F9"/>
      </patternFill>
    </fill>
  </fills>
  <borders count="3">
    <border>
      <left/>
      <right/>
      <top/>
      <bottom/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Border="1"/>
    <xf numFmtId="0" fontId="1" fillId="2" borderId="0" xfId="0" applyFont="1" applyFill="1" applyBorder="1"/>
    <xf numFmtId="0" fontId="2" fillId="0" borderId="0" xfId="0" applyFont="1"/>
    <xf numFmtId="0" fontId="3" fillId="0" borderId="0" xfId="0" applyFont="1"/>
    <xf numFmtId="0" fontId="0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Font="1" applyBorder="1"/>
    <xf numFmtId="0" fontId="3" fillId="0" borderId="2" xfId="0" applyFont="1" applyBorder="1"/>
    <xf numFmtId="0" fontId="0" fillId="0" borderId="2" xfId="0" applyFont="1" applyBorder="1" applyAlignment="1">
      <alignment horizontal="center"/>
    </xf>
    <xf numFmtId="164" fontId="0" fillId="0" borderId="2" xfId="0" applyNumberFormat="1" applyBorder="1"/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65" fontId="0" fillId="0" borderId="2" xfId="0" applyNumberFormat="1" applyBorder="1"/>
    <xf numFmtId="165" fontId="3" fillId="0" borderId="0" xfId="0" applyNumberFormat="1" applyFont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9" fontId="0" fillId="0" borderId="2" xfId="0" applyNumberFormat="1" applyBorder="1"/>
    <xf numFmtId="0" fontId="6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4" fillId="3" borderId="1" xfId="0" applyFont="1" applyFill="1" applyBorder="1"/>
    <xf numFmtId="165" fontId="3" fillId="0" borderId="2" xfId="0" applyNumberFormat="1" applyFont="1" applyBorder="1"/>
    <xf numFmtId="9" fontId="3" fillId="0" borderId="0" xfId="0" applyNumberFormat="1" applyFont="1"/>
    <xf numFmtId="165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4"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CCCCC"/>
      <rgbColor rgb="FF878787"/>
      <rgbColor rgb="FF9999FF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4F81BD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План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vs </a:t>
            </a: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Факт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Бюджет!$B$2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Бюджет!$A$3:$A$9</c:f>
              <c:strCache>
                <c:ptCount val="7"/>
                <c:pt idx="0">
                  <c:v>Анализ и проектирование</c:v>
                </c:pt>
                <c:pt idx="1">
                  <c:v>Разработка Backend</c:v>
                </c:pt>
                <c:pt idx="2">
                  <c:v>Разработка iOS</c:v>
                </c:pt>
                <c:pt idx="3">
                  <c:v>Разработка Android</c:v>
                </c:pt>
                <c:pt idx="4">
                  <c:v>Интеграция</c:v>
                </c:pt>
                <c:pt idx="5">
                  <c:v>Тестирование</c:v>
                </c:pt>
                <c:pt idx="6">
                  <c:v>Запуск и маркетинг</c:v>
                </c:pt>
              </c:strCache>
            </c:strRef>
          </c:cat>
          <c:val>
            <c:numRef>
              <c:f>Бюджет!$B$3:$B$9</c:f>
              <c:numCache>
                <c:formatCode>#\ ##0" ₽"</c:formatCode>
                <c:ptCount val="7"/>
                <c:pt idx="0">
                  <c:v>430000</c:v>
                </c:pt>
                <c:pt idx="1">
                  <c:v>200000</c:v>
                </c:pt>
                <c:pt idx="2">
                  <c:v>180000</c:v>
                </c:pt>
                <c:pt idx="3">
                  <c:v>180000</c:v>
                </c:pt>
                <c:pt idx="4">
                  <c:v>90000</c:v>
                </c:pt>
                <c:pt idx="5">
                  <c:v>200000</c:v>
                </c:pt>
                <c:pt idx="6">
                  <c:v>220000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C-4864-8F99-E1ABC7F02FBE}"/>
            </c:ext>
          </c:extLst>
        </c:ser>
        <c:ser>
          <c:idx val="1"/>
          <c:order val="1"/>
          <c:tx>
            <c:strRef>
              <c:f>Бюджет!$C$2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Бюджет!$A$3:$A$9</c:f>
              <c:strCache>
                <c:ptCount val="7"/>
                <c:pt idx="0">
                  <c:v>Анализ и проектирование</c:v>
                </c:pt>
                <c:pt idx="1">
                  <c:v>Разработка Backend</c:v>
                </c:pt>
                <c:pt idx="2">
                  <c:v>Разработка iOS</c:v>
                </c:pt>
                <c:pt idx="3">
                  <c:v>Разработка Android</c:v>
                </c:pt>
                <c:pt idx="4">
                  <c:v>Интеграция</c:v>
                </c:pt>
                <c:pt idx="5">
                  <c:v>Тестирование</c:v>
                </c:pt>
                <c:pt idx="6">
                  <c:v>Запуск и маркетинг</c:v>
                </c:pt>
              </c:strCache>
            </c:strRef>
          </c:cat>
          <c:val>
            <c:numRef>
              <c:f>Бюджет!$C$3:$C$9</c:f>
              <c:numCache>
                <c:formatCode>#\ ##0" ₽"</c:formatCode>
                <c:ptCount val="7"/>
                <c:pt idx="0">
                  <c:v>425000</c:v>
                </c:pt>
                <c:pt idx="1">
                  <c:v>180000</c:v>
                </c:pt>
                <c:pt idx="2">
                  <c:v>165000</c:v>
                </c:pt>
                <c:pt idx="3">
                  <c:v>155000</c:v>
                </c:pt>
                <c:pt idx="4">
                  <c:v>45000</c:v>
                </c:pt>
                <c:pt idx="5">
                  <c:v>85000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C-4864-8F99-E1ABC7F02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55976"/>
        <c:axId val="59090551"/>
      </c:barChart>
      <c:catAx>
        <c:axId val="69855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59090551"/>
        <c:crosses val="autoZero"/>
        <c:auto val="1"/>
        <c:lblAlgn val="ctr"/>
        <c:lblOffset val="100"/>
        <c:noMultiLvlLbl val="0"/>
      </c:catAx>
      <c:valAx>
        <c:axId val="590905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&quot; ₽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98559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190440</xdr:rowOff>
    </xdr:from>
    <xdr:to>
      <xdr:col>15</xdr:col>
      <xdr:colOff>255960</xdr:colOff>
      <xdr:row>19</xdr:row>
      <xdr:rowOff>110880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opLeftCell="A8" zoomScaleNormal="100" workbookViewId="0">
      <selection sqref="A1:K1"/>
    </sheetView>
  </sheetViews>
  <sheetFormatPr defaultColWidth="8.7109375" defaultRowHeight="15" x14ac:dyDescent="0.25"/>
  <cols>
    <col min="1" max="1" width="6" customWidth="1"/>
    <col min="2" max="2" width="32" customWidth="1"/>
    <col min="3" max="3" width="16" customWidth="1"/>
    <col min="4" max="4" width="12" customWidth="1"/>
    <col min="5" max="6" width="14" customWidth="1"/>
    <col min="7" max="7" width="12" customWidth="1"/>
    <col min="8" max="8" width="10" customWidth="1"/>
    <col min="9" max="9" width="12" customWidth="1"/>
    <col min="10" max="11" width="14" customWidth="1"/>
  </cols>
  <sheetData>
    <row r="1" spans="1:11" ht="34.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1" ht="15.75" x14ac:dyDescent="0.25">
      <c r="A3" s="3" t="s">
        <v>1</v>
      </c>
    </row>
    <row r="4" spans="1:11" x14ac:dyDescent="0.25">
      <c r="A4" s="4" t="s">
        <v>2</v>
      </c>
      <c r="B4" s="5" t="s">
        <v>3</v>
      </c>
    </row>
    <row r="5" spans="1:11" x14ac:dyDescent="0.25">
      <c r="A5" s="4" t="s">
        <v>4</v>
      </c>
      <c r="B5" s="5" t="s">
        <v>5</v>
      </c>
    </row>
    <row r="6" spans="1:11" x14ac:dyDescent="0.25">
      <c r="A6" s="4" t="s">
        <v>6</v>
      </c>
      <c r="B6" s="5" t="s">
        <v>7</v>
      </c>
    </row>
    <row r="7" spans="1:11" x14ac:dyDescent="0.25">
      <c r="A7" s="4" t="s">
        <v>8</v>
      </c>
      <c r="B7" s="5" t="s">
        <v>9</v>
      </c>
    </row>
    <row r="8" spans="1:11" x14ac:dyDescent="0.25">
      <c r="A8" s="4" t="s">
        <v>10</v>
      </c>
      <c r="B8" s="5" t="s">
        <v>11</v>
      </c>
    </row>
    <row r="10" spans="1:11" ht="15.75" x14ac:dyDescent="0.25">
      <c r="A10" s="1" t="s">
        <v>12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30" customHeight="1" x14ac:dyDescent="0.25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F11" s="6" t="s">
        <v>18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</row>
    <row r="12" spans="1:11" x14ac:dyDescent="0.25">
      <c r="A12" s="7" t="s">
        <v>24</v>
      </c>
      <c r="B12" s="8" t="s">
        <v>25</v>
      </c>
      <c r="C12" s="7" t="s">
        <v>26</v>
      </c>
      <c r="D12" s="9" t="s">
        <v>27</v>
      </c>
      <c r="E12" s="10">
        <v>45689</v>
      </c>
      <c r="F12" s="10">
        <v>45695</v>
      </c>
      <c r="G12" s="11">
        <f t="shared" ref="G12:G32" si="0">F12-E12+1</f>
        <v>7</v>
      </c>
      <c r="H12" s="12">
        <v>1</v>
      </c>
      <c r="I12" s="13" t="str">
        <f t="shared" ref="I12:I32" si="1">IF(H12=1,"Завершено",IF(H12&gt;0,"В работе","Не начато"))</f>
        <v>Завершено</v>
      </c>
      <c r="J12" s="14">
        <v>180000</v>
      </c>
      <c r="K12" s="14">
        <f t="shared" ref="K12:K32" si="2">J12*H12</f>
        <v>180000</v>
      </c>
    </row>
    <row r="13" spans="1:11" x14ac:dyDescent="0.25">
      <c r="A13" s="7" t="s">
        <v>28</v>
      </c>
      <c r="B13" s="7" t="s">
        <v>29</v>
      </c>
      <c r="C13" s="7" t="s">
        <v>26</v>
      </c>
      <c r="D13" s="9" t="s">
        <v>27</v>
      </c>
      <c r="E13" s="10">
        <v>45689</v>
      </c>
      <c r="F13" s="10">
        <v>45691</v>
      </c>
      <c r="G13" s="11">
        <f t="shared" si="0"/>
        <v>3</v>
      </c>
      <c r="H13" s="12">
        <v>1</v>
      </c>
      <c r="I13" s="13" t="str">
        <f t="shared" si="1"/>
        <v>Завершено</v>
      </c>
      <c r="J13" s="14">
        <v>50000</v>
      </c>
      <c r="K13" s="14">
        <f t="shared" si="2"/>
        <v>50000</v>
      </c>
    </row>
    <row r="14" spans="1:11" x14ac:dyDescent="0.25">
      <c r="A14" s="7" t="s">
        <v>30</v>
      </c>
      <c r="B14" s="7" t="s">
        <v>31</v>
      </c>
      <c r="C14" s="7" t="s">
        <v>32</v>
      </c>
      <c r="D14" s="9" t="s">
        <v>33</v>
      </c>
      <c r="E14" s="10">
        <v>45691</v>
      </c>
      <c r="F14" s="10">
        <v>45693</v>
      </c>
      <c r="G14" s="11">
        <f t="shared" si="0"/>
        <v>3</v>
      </c>
      <c r="H14" s="12">
        <v>1</v>
      </c>
      <c r="I14" s="13" t="str">
        <f t="shared" si="1"/>
        <v>Завершено</v>
      </c>
      <c r="J14" s="14">
        <v>40000</v>
      </c>
      <c r="K14" s="14">
        <f t="shared" si="2"/>
        <v>40000</v>
      </c>
    </row>
    <row r="15" spans="1:11" x14ac:dyDescent="0.25">
      <c r="A15" s="7" t="s">
        <v>34</v>
      </c>
      <c r="B15" s="7" t="s">
        <v>35</v>
      </c>
      <c r="C15" s="7" t="s">
        <v>26</v>
      </c>
      <c r="D15" s="9" t="s">
        <v>27</v>
      </c>
      <c r="E15" s="10">
        <v>45693</v>
      </c>
      <c r="F15" s="10">
        <v>45695</v>
      </c>
      <c r="G15" s="11">
        <f t="shared" si="0"/>
        <v>3</v>
      </c>
      <c r="H15" s="12">
        <v>1</v>
      </c>
      <c r="I15" s="13" t="str">
        <f t="shared" si="1"/>
        <v>Завершено</v>
      </c>
      <c r="J15" s="14">
        <v>90000</v>
      </c>
      <c r="K15" s="14">
        <f t="shared" si="2"/>
        <v>90000</v>
      </c>
    </row>
    <row r="16" spans="1:11" x14ac:dyDescent="0.25">
      <c r="A16" s="7" t="s">
        <v>36</v>
      </c>
      <c r="B16" s="8" t="s">
        <v>37</v>
      </c>
      <c r="C16" s="7" t="s">
        <v>38</v>
      </c>
      <c r="D16" s="9" t="s">
        <v>27</v>
      </c>
      <c r="E16" s="10">
        <v>45696</v>
      </c>
      <c r="F16" s="10">
        <v>45709</v>
      </c>
      <c r="G16" s="11">
        <f t="shared" si="0"/>
        <v>14</v>
      </c>
      <c r="H16" s="12">
        <v>0.85</v>
      </c>
      <c r="I16" s="13" t="str">
        <f t="shared" si="1"/>
        <v>В работе</v>
      </c>
      <c r="J16" s="14">
        <v>250000</v>
      </c>
      <c r="K16" s="14">
        <f t="shared" si="2"/>
        <v>212500</v>
      </c>
    </row>
    <row r="17" spans="1:11" x14ac:dyDescent="0.25">
      <c r="A17" s="7" t="s">
        <v>39</v>
      </c>
      <c r="B17" s="7" t="s">
        <v>40</v>
      </c>
      <c r="C17" s="7" t="s">
        <v>38</v>
      </c>
      <c r="D17" s="9" t="s">
        <v>27</v>
      </c>
      <c r="E17" s="10">
        <v>45696</v>
      </c>
      <c r="F17" s="10">
        <v>45700</v>
      </c>
      <c r="G17" s="11">
        <f t="shared" si="0"/>
        <v>5</v>
      </c>
      <c r="H17" s="12">
        <v>1</v>
      </c>
      <c r="I17" s="13" t="str">
        <f t="shared" si="1"/>
        <v>Завершено</v>
      </c>
      <c r="J17" s="14">
        <v>80000</v>
      </c>
      <c r="K17" s="14">
        <f t="shared" si="2"/>
        <v>80000</v>
      </c>
    </row>
    <row r="18" spans="1:11" x14ac:dyDescent="0.25">
      <c r="A18" s="7" t="s">
        <v>41</v>
      </c>
      <c r="B18" s="7" t="s">
        <v>42</v>
      </c>
      <c r="C18" s="7" t="s">
        <v>43</v>
      </c>
      <c r="D18" s="9" t="s">
        <v>27</v>
      </c>
      <c r="E18" s="10">
        <v>45698</v>
      </c>
      <c r="F18" s="10">
        <v>45706</v>
      </c>
      <c r="G18" s="11">
        <f t="shared" si="0"/>
        <v>9</v>
      </c>
      <c r="H18" s="12">
        <v>0.9</v>
      </c>
      <c r="I18" s="13" t="str">
        <f t="shared" si="1"/>
        <v>В работе</v>
      </c>
      <c r="J18" s="14">
        <v>120000</v>
      </c>
      <c r="K18" s="14">
        <f t="shared" si="2"/>
        <v>108000</v>
      </c>
    </row>
    <row r="19" spans="1:11" x14ac:dyDescent="0.25">
      <c r="A19" s="7" t="s">
        <v>44</v>
      </c>
      <c r="B19" s="7" t="s">
        <v>45</v>
      </c>
      <c r="C19" s="7" t="s">
        <v>38</v>
      </c>
      <c r="D19" s="9" t="s">
        <v>33</v>
      </c>
      <c r="E19" s="10">
        <v>45703</v>
      </c>
      <c r="F19" s="10">
        <v>45709</v>
      </c>
      <c r="G19" s="11">
        <f t="shared" si="0"/>
        <v>7</v>
      </c>
      <c r="H19" s="12">
        <v>0.6</v>
      </c>
      <c r="I19" s="13" t="str">
        <f t="shared" si="1"/>
        <v>В работе</v>
      </c>
      <c r="J19" s="14">
        <v>50000</v>
      </c>
      <c r="K19" s="14">
        <f t="shared" si="2"/>
        <v>30000</v>
      </c>
    </row>
    <row r="20" spans="1:11" x14ac:dyDescent="0.25">
      <c r="A20" s="7" t="s">
        <v>46</v>
      </c>
      <c r="B20" s="8" t="s">
        <v>47</v>
      </c>
      <c r="C20" s="7" t="s">
        <v>48</v>
      </c>
      <c r="D20" s="9" t="s">
        <v>27</v>
      </c>
      <c r="E20" s="10">
        <v>45710</v>
      </c>
      <c r="F20" s="10">
        <v>45752</v>
      </c>
      <c r="G20" s="11">
        <f t="shared" si="0"/>
        <v>43</v>
      </c>
      <c r="H20" s="12">
        <v>0.45</v>
      </c>
      <c r="I20" s="13" t="str">
        <f t="shared" si="1"/>
        <v>В работе</v>
      </c>
      <c r="J20" s="14">
        <v>650000</v>
      </c>
      <c r="K20" s="14">
        <f t="shared" si="2"/>
        <v>292500</v>
      </c>
    </row>
    <row r="21" spans="1:11" x14ac:dyDescent="0.25">
      <c r="A21" s="7" t="s">
        <v>49</v>
      </c>
      <c r="B21" s="7" t="s">
        <v>50</v>
      </c>
      <c r="C21" s="7" t="s">
        <v>51</v>
      </c>
      <c r="D21" s="9" t="s">
        <v>27</v>
      </c>
      <c r="E21" s="10">
        <v>45710</v>
      </c>
      <c r="F21" s="10">
        <v>45731</v>
      </c>
      <c r="G21" s="11">
        <f t="shared" si="0"/>
        <v>22</v>
      </c>
      <c r="H21" s="12">
        <v>0.7</v>
      </c>
      <c r="I21" s="13" t="str">
        <f t="shared" si="1"/>
        <v>В работе</v>
      </c>
      <c r="J21" s="14">
        <v>200000</v>
      </c>
      <c r="K21" s="14">
        <f t="shared" si="2"/>
        <v>140000</v>
      </c>
    </row>
    <row r="22" spans="1:11" x14ac:dyDescent="0.25">
      <c r="A22" s="7" t="s">
        <v>52</v>
      </c>
      <c r="B22" s="7" t="s">
        <v>53</v>
      </c>
      <c r="C22" s="7" t="s">
        <v>54</v>
      </c>
      <c r="D22" s="9" t="s">
        <v>27</v>
      </c>
      <c r="E22" s="10">
        <v>45717</v>
      </c>
      <c r="F22" s="10">
        <v>45741</v>
      </c>
      <c r="G22" s="11">
        <f t="shared" si="0"/>
        <v>25</v>
      </c>
      <c r="H22" s="12">
        <v>0.5</v>
      </c>
      <c r="I22" s="13" t="str">
        <f t="shared" si="1"/>
        <v>В работе</v>
      </c>
      <c r="J22" s="14">
        <v>180000</v>
      </c>
      <c r="K22" s="14">
        <f t="shared" si="2"/>
        <v>90000</v>
      </c>
    </row>
    <row r="23" spans="1:11" x14ac:dyDescent="0.25">
      <c r="A23" s="7" t="s">
        <v>55</v>
      </c>
      <c r="B23" s="7" t="s">
        <v>56</v>
      </c>
      <c r="C23" s="7" t="s">
        <v>57</v>
      </c>
      <c r="D23" s="9" t="s">
        <v>27</v>
      </c>
      <c r="E23" s="10">
        <v>45717</v>
      </c>
      <c r="F23" s="10">
        <v>45741</v>
      </c>
      <c r="G23" s="11">
        <f t="shared" si="0"/>
        <v>25</v>
      </c>
      <c r="H23" s="12">
        <v>0.4</v>
      </c>
      <c r="I23" s="13" t="str">
        <f t="shared" si="1"/>
        <v>В работе</v>
      </c>
      <c r="J23" s="14">
        <v>180000</v>
      </c>
      <c r="K23" s="14">
        <f t="shared" si="2"/>
        <v>72000</v>
      </c>
    </row>
    <row r="24" spans="1:11" x14ac:dyDescent="0.25">
      <c r="A24" s="7" t="s">
        <v>58</v>
      </c>
      <c r="B24" s="7" t="s">
        <v>59</v>
      </c>
      <c r="C24" s="7" t="s">
        <v>51</v>
      </c>
      <c r="D24" s="9" t="s">
        <v>33</v>
      </c>
      <c r="E24" s="10">
        <v>45736</v>
      </c>
      <c r="F24" s="10">
        <v>45752</v>
      </c>
      <c r="G24" s="11">
        <f t="shared" si="0"/>
        <v>17</v>
      </c>
      <c r="H24" s="12">
        <v>0.1</v>
      </c>
      <c r="I24" s="13" t="str">
        <f t="shared" si="1"/>
        <v>В работе</v>
      </c>
      <c r="J24" s="14">
        <v>90000</v>
      </c>
      <c r="K24" s="14">
        <f t="shared" si="2"/>
        <v>9000</v>
      </c>
    </row>
    <row r="25" spans="1:11" x14ac:dyDescent="0.25">
      <c r="A25" s="7" t="s">
        <v>60</v>
      </c>
      <c r="B25" s="8" t="s">
        <v>61</v>
      </c>
      <c r="C25" s="7" t="s">
        <v>62</v>
      </c>
      <c r="D25" s="9" t="s">
        <v>27</v>
      </c>
      <c r="E25" s="10">
        <v>45748</v>
      </c>
      <c r="F25" s="10">
        <v>45767</v>
      </c>
      <c r="G25" s="11">
        <f t="shared" si="0"/>
        <v>20</v>
      </c>
      <c r="H25" s="12">
        <v>0.15</v>
      </c>
      <c r="I25" s="13" t="str">
        <f t="shared" si="1"/>
        <v>В работе</v>
      </c>
      <c r="J25" s="14">
        <v>200000</v>
      </c>
      <c r="K25" s="14">
        <f t="shared" si="2"/>
        <v>30000</v>
      </c>
    </row>
    <row r="26" spans="1:11" x14ac:dyDescent="0.25">
      <c r="A26" s="7" t="s">
        <v>63</v>
      </c>
      <c r="B26" s="7" t="s">
        <v>64</v>
      </c>
      <c r="C26" s="7" t="s">
        <v>48</v>
      </c>
      <c r="D26" s="9" t="s">
        <v>33</v>
      </c>
      <c r="E26" s="10">
        <v>45748</v>
      </c>
      <c r="F26" s="10">
        <v>45754</v>
      </c>
      <c r="G26" s="11">
        <f t="shared" si="0"/>
        <v>7</v>
      </c>
      <c r="H26" s="12">
        <v>0.3</v>
      </c>
      <c r="I26" s="13" t="str">
        <f t="shared" si="1"/>
        <v>В работе</v>
      </c>
      <c r="J26" s="14">
        <v>50000</v>
      </c>
      <c r="K26" s="14">
        <f t="shared" si="2"/>
        <v>15000</v>
      </c>
    </row>
    <row r="27" spans="1:11" x14ac:dyDescent="0.25">
      <c r="A27" s="7" t="s">
        <v>65</v>
      </c>
      <c r="B27" s="7" t="s">
        <v>66</v>
      </c>
      <c r="C27" s="7" t="s">
        <v>67</v>
      </c>
      <c r="D27" s="9" t="s">
        <v>27</v>
      </c>
      <c r="E27" s="10">
        <v>45752</v>
      </c>
      <c r="F27" s="10">
        <v>45759</v>
      </c>
      <c r="G27" s="11">
        <f t="shared" si="0"/>
        <v>8</v>
      </c>
      <c r="H27" s="12">
        <v>0.1</v>
      </c>
      <c r="I27" s="13" t="str">
        <f t="shared" si="1"/>
        <v>В работе</v>
      </c>
      <c r="J27" s="14">
        <v>70000</v>
      </c>
      <c r="K27" s="14">
        <f t="shared" si="2"/>
        <v>7000</v>
      </c>
    </row>
    <row r="28" spans="1:11" x14ac:dyDescent="0.25">
      <c r="A28" s="7" t="s">
        <v>68</v>
      </c>
      <c r="B28" s="7" t="s">
        <v>69</v>
      </c>
      <c r="C28" s="7" t="s">
        <v>26</v>
      </c>
      <c r="D28" s="9" t="s">
        <v>27</v>
      </c>
      <c r="E28" s="10">
        <v>45759</v>
      </c>
      <c r="F28" s="10">
        <v>45767</v>
      </c>
      <c r="G28" s="11">
        <f t="shared" si="0"/>
        <v>9</v>
      </c>
      <c r="H28" s="12">
        <v>0</v>
      </c>
      <c r="I28" s="13" t="str">
        <f t="shared" si="1"/>
        <v>Не начато</v>
      </c>
      <c r="J28" s="14">
        <v>80000</v>
      </c>
      <c r="K28" s="14">
        <f t="shared" si="2"/>
        <v>0</v>
      </c>
    </row>
    <row r="29" spans="1:11" x14ac:dyDescent="0.25">
      <c r="A29" s="7" t="s">
        <v>70</v>
      </c>
      <c r="B29" s="8" t="s">
        <v>71</v>
      </c>
      <c r="C29" s="7" t="s">
        <v>72</v>
      </c>
      <c r="D29" s="9" t="s">
        <v>73</v>
      </c>
      <c r="E29" s="10">
        <v>45768</v>
      </c>
      <c r="F29" s="10">
        <v>45777</v>
      </c>
      <c r="G29" s="11">
        <f t="shared" si="0"/>
        <v>10</v>
      </c>
      <c r="H29" s="12">
        <v>0</v>
      </c>
      <c r="I29" s="13" t="str">
        <f t="shared" si="1"/>
        <v>Не начато</v>
      </c>
      <c r="J29" s="14">
        <v>220000</v>
      </c>
      <c r="K29" s="14">
        <f t="shared" si="2"/>
        <v>0</v>
      </c>
    </row>
    <row r="30" spans="1:11" x14ac:dyDescent="0.25">
      <c r="A30" s="7" t="s">
        <v>74</v>
      </c>
      <c r="B30" s="7" t="s">
        <v>75</v>
      </c>
      <c r="C30" s="7" t="s">
        <v>54</v>
      </c>
      <c r="D30" s="9" t="s">
        <v>73</v>
      </c>
      <c r="E30" s="10">
        <v>45768</v>
      </c>
      <c r="F30" s="10">
        <v>45772</v>
      </c>
      <c r="G30" s="11">
        <f t="shared" si="0"/>
        <v>5</v>
      </c>
      <c r="H30" s="12">
        <v>0</v>
      </c>
      <c r="I30" s="13" t="str">
        <f t="shared" si="1"/>
        <v>Не начато</v>
      </c>
      <c r="J30" s="14">
        <v>60000</v>
      </c>
      <c r="K30" s="14">
        <f t="shared" si="2"/>
        <v>0</v>
      </c>
    </row>
    <row r="31" spans="1:11" x14ac:dyDescent="0.25">
      <c r="A31" s="7" t="s">
        <v>76</v>
      </c>
      <c r="B31" s="7" t="s">
        <v>77</v>
      </c>
      <c r="C31" s="7" t="s">
        <v>57</v>
      </c>
      <c r="D31" s="9" t="s">
        <v>73</v>
      </c>
      <c r="E31" s="10">
        <v>45768</v>
      </c>
      <c r="F31" s="10">
        <v>45772</v>
      </c>
      <c r="G31" s="11">
        <f t="shared" si="0"/>
        <v>5</v>
      </c>
      <c r="H31" s="12">
        <v>0</v>
      </c>
      <c r="I31" s="13" t="str">
        <f t="shared" si="1"/>
        <v>Не начато</v>
      </c>
      <c r="J31" s="14">
        <v>60000</v>
      </c>
      <c r="K31" s="14">
        <f t="shared" si="2"/>
        <v>0</v>
      </c>
    </row>
    <row r="32" spans="1:11" x14ac:dyDescent="0.25">
      <c r="A32" s="7" t="s">
        <v>78</v>
      </c>
      <c r="B32" s="7" t="s">
        <v>79</v>
      </c>
      <c r="C32" s="7" t="s">
        <v>80</v>
      </c>
      <c r="D32" s="9" t="s">
        <v>27</v>
      </c>
      <c r="E32" s="10">
        <v>45772</v>
      </c>
      <c r="F32" s="10">
        <v>45777</v>
      </c>
      <c r="G32" s="11">
        <f t="shared" si="0"/>
        <v>6</v>
      </c>
      <c r="H32" s="12">
        <v>0</v>
      </c>
      <c r="I32" s="13" t="str">
        <f t="shared" si="1"/>
        <v>Не начато</v>
      </c>
      <c r="J32" s="14">
        <v>100000</v>
      </c>
      <c r="K32" s="14">
        <f t="shared" si="2"/>
        <v>0</v>
      </c>
    </row>
    <row r="34" spans="9:11" x14ac:dyDescent="0.25">
      <c r="I34" s="4" t="s">
        <v>81</v>
      </c>
      <c r="J34" s="15">
        <f>SUM(J12:J32)</f>
        <v>3000000</v>
      </c>
      <c r="K34" s="15">
        <f>SUM(K12:K32)</f>
        <v>1446000</v>
      </c>
    </row>
  </sheetData>
  <mergeCells count="2">
    <mergeCell ref="A1:K1"/>
    <mergeCell ref="A10:K10"/>
  </mergeCells>
  <conditionalFormatting sqref="D12:D32">
    <cfRule type="expression" dxfId="3" priority="2">
      <formula>$D12="Критический"</formula>
    </cfRule>
    <cfRule type="expression" dxfId="2" priority="3">
      <formula>$D12="Высокий"</formula>
    </cfRule>
  </conditionalFormatting>
  <conditionalFormatting sqref="I12:I32">
    <cfRule type="expression" dxfId="1" priority="4">
      <formula>$I12="Завершено"</formula>
    </cfRule>
    <cfRule type="expression" dxfId="0" priority="5">
      <formula>$I12="В работе"</formula>
    </cfRule>
  </conditionalFormatting>
  <conditionalFormatting sqref="H12:H32">
    <cfRule type="dataBar" priority="6">
      <dataBar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{90D899BE-8FE6-4B33-81F9-1792CFDCC2FB}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D899BE-8FE6-4B33-81F9-1792CFDCC2FB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70AD47"/>
            </x14:dataBar>
          </x14:cfRule>
          <xm:sqref>H12:H32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3"/>
  <sheetViews>
    <sheetView zoomScaleNormal="100" workbookViewId="0">
      <selection sqref="A1:AO1"/>
    </sheetView>
  </sheetViews>
  <sheetFormatPr defaultColWidth="8.7109375" defaultRowHeight="15" x14ac:dyDescent="0.25"/>
  <cols>
    <col min="1" max="1" width="25" customWidth="1"/>
    <col min="2" max="2" width="10" customWidth="1"/>
    <col min="3" max="3" width="11.28515625" customWidth="1"/>
    <col min="4" max="4" width="6" customWidth="1"/>
    <col min="5" max="5" width="9.42578125" customWidth="1"/>
    <col min="6" max="15" width="6" customWidth="1"/>
  </cols>
  <sheetData>
    <row r="1" spans="1:41" ht="20.25" x14ac:dyDescent="0.3">
      <c r="A1" s="2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spans="1:41" x14ac:dyDescent="0.25">
      <c r="A2" s="16" t="s">
        <v>14</v>
      </c>
      <c r="B2" s="16" t="s">
        <v>20</v>
      </c>
      <c r="C2" s="17" t="s">
        <v>83</v>
      </c>
      <c r="D2" s="17" t="s">
        <v>84</v>
      </c>
      <c r="E2" s="17" t="s">
        <v>85</v>
      </c>
      <c r="F2" s="17" t="s">
        <v>86</v>
      </c>
      <c r="G2" s="17" t="s">
        <v>87</v>
      </c>
      <c r="H2" s="17" t="s">
        <v>88</v>
      </c>
      <c r="I2" s="17" t="s">
        <v>89</v>
      </c>
      <c r="J2" s="17" t="s">
        <v>90</v>
      </c>
      <c r="K2" s="17" t="s">
        <v>91</v>
      </c>
      <c r="L2" s="17" t="s">
        <v>92</v>
      </c>
      <c r="M2" s="17" t="s">
        <v>93</v>
      </c>
      <c r="N2" s="17" t="s">
        <v>94</v>
      </c>
      <c r="O2" s="17" t="s">
        <v>95</v>
      </c>
    </row>
    <row r="3" spans="1:41" x14ac:dyDescent="0.25">
      <c r="A3" s="7" t="s">
        <v>25</v>
      </c>
      <c r="B3" s="18">
        <v>1</v>
      </c>
      <c r="C3" s="19" t="s">
        <v>96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41" x14ac:dyDescent="0.25">
      <c r="A4" s="7" t="s">
        <v>37</v>
      </c>
      <c r="B4" s="18">
        <v>0.85</v>
      </c>
      <c r="C4" s="7"/>
      <c r="D4" s="20" t="s">
        <v>96</v>
      </c>
      <c r="E4" s="20" t="s">
        <v>96</v>
      </c>
      <c r="F4" s="7"/>
      <c r="G4" s="7"/>
      <c r="H4" s="7"/>
      <c r="I4" s="7"/>
      <c r="J4" s="7"/>
      <c r="K4" s="7"/>
      <c r="L4" s="7"/>
      <c r="M4" s="7"/>
      <c r="N4" s="7"/>
      <c r="O4" s="7"/>
    </row>
    <row r="5" spans="1:41" x14ac:dyDescent="0.25">
      <c r="A5" s="7" t="s">
        <v>97</v>
      </c>
      <c r="B5" s="18">
        <v>0.7</v>
      </c>
      <c r="C5" s="7"/>
      <c r="D5" s="7"/>
      <c r="E5" s="7"/>
      <c r="F5" s="20" t="s">
        <v>96</v>
      </c>
      <c r="G5" s="20" t="s">
        <v>96</v>
      </c>
      <c r="H5" s="20" t="s">
        <v>96</v>
      </c>
      <c r="I5" s="7"/>
      <c r="J5" s="7"/>
      <c r="K5" s="7"/>
      <c r="L5" s="7"/>
      <c r="M5" s="7"/>
      <c r="N5" s="7"/>
      <c r="O5" s="7"/>
    </row>
    <row r="6" spans="1:41" x14ac:dyDescent="0.25">
      <c r="A6" s="7" t="s">
        <v>98</v>
      </c>
      <c r="B6" s="18">
        <v>0.5</v>
      </c>
      <c r="C6" s="7"/>
      <c r="D6" s="7"/>
      <c r="E6" s="7"/>
      <c r="F6" s="7"/>
      <c r="G6" s="20" t="s">
        <v>96</v>
      </c>
      <c r="H6" s="20" t="s">
        <v>96</v>
      </c>
      <c r="I6" s="20" t="s">
        <v>96</v>
      </c>
      <c r="J6" s="7"/>
      <c r="K6" s="7"/>
      <c r="L6" s="7"/>
      <c r="M6" s="7"/>
      <c r="N6" s="7"/>
      <c r="O6" s="7"/>
    </row>
    <row r="7" spans="1:41" x14ac:dyDescent="0.25">
      <c r="A7" s="7" t="s">
        <v>99</v>
      </c>
      <c r="B7" s="18">
        <v>0.4</v>
      </c>
      <c r="C7" s="7"/>
      <c r="D7" s="7"/>
      <c r="E7" s="7"/>
      <c r="F7" s="7"/>
      <c r="G7" s="20" t="s">
        <v>96</v>
      </c>
      <c r="H7" s="20" t="s">
        <v>96</v>
      </c>
      <c r="I7" s="20" t="s">
        <v>96</v>
      </c>
      <c r="J7" s="7"/>
      <c r="K7" s="7"/>
      <c r="L7" s="7"/>
      <c r="M7" s="7"/>
      <c r="N7" s="7"/>
      <c r="O7" s="7"/>
    </row>
    <row r="8" spans="1:41" x14ac:dyDescent="0.25">
      <c r="A8" s="7" t="s">
        <v>100</v>
      </c>
      <c r="B8" s="18">
        <v>0.1</v>
      </c>
      <c r="C8" s="7"/>
      <c r="D8" s="7"/>
      <c r="E8" s="7"/>
      <c r="F8" s="7"/>
      <c r="G8" s="7"/>
      <c r="H8" s="7"/>
      <c r="I8" s="7"/>
      <c r="J8" s="20" t="s">
        <v>96</v>
      </c>
      <c r="K8" s="20" t="s">
        <v>96</v>
      </c>
      <c r="L8" s="7"/>
      <c r="M8" s="7"/>
      <c r="N8" s="7"/>
      <c r="O8" s="7"/>
    </row>
    <row r="9" spans="1:41" x14ac:dyDescent="0.25">
      <c r="A9" s="7" t="s">
        <v>61</v>
      </c>
      <c r="B9" s="18">
        <v>0.15</v>
      </c>
      <c r="C9" s="7"/>
      <c r="D9" s="7"/>
      <c r="E9" s="7"/>
      <c r="F9" s="7"/>
      <c r="G9" s="7"/>
      <c r="H9" s="7"/>
      <c r="I9" s="7"/>
      <c r="J9" s="7"/>
      <c r="K9" s="20" t="s">
        <v>96</v>
      </c>
      <c r="L9" s="20" t="s">
        <v>96</v>
      </c>
      <c r="M9" s="20" t="s">
        <v>96</v>
      </c>
      <c r="N9" s="7"/>
      <c r="O9" s="7"/>
    </row>
    <row r="10" spans="1:41" x14ac:dyDescent="0.25">
      <c r="A10" s="7" t="s">
        <v>71</v>
      </c>
      <c r="B10" s="18"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21" t="s">
        <v>96</v>
      </c>
      <c r="O10" s="21" t="s">
        <v>96</v>
      </c>
    </row>
    <row r="13" spans="1:41" x14ac:dyDescent="0.25">
      <c r="A13" s="4" t="s">
        <v>101</v>
      </c>
      <c r="B13" s="22" t="s">
        <v>96</v>
      </c>
      <c r="C13" s="5" t="s">
        <v>102</v>
      </c>
      <c r="D13" s="23" t="s">
        <v>96</v>
      </c>
      <c r="E13" s="5" t="s">
        <v>103</v>
      </c>
      <c r="F13" s="24" t="s">
        <v>96</v>
      </c>
      <c r="G13" s="5" t="s">
        <v>104</v>
      </c>
    </row>
  </sheetData>
  <mergeCells count="1">
    <mergeCell ref="A1:AO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zoomScaleNormal="100" workbookViewId="0">
      <selection sqref="A1:E1"/>
    </sheetView>
  </sheetViews>
  <sheetFormatPr defaultColWidth="8.7109375" defaultRowHeight="15" x14ac:dyDescent="0.25"/>
  <cols>
    <col min="1" max="1" width="28" customWidth="1"/>
    <col min="2" max="4" width="14" customWidth="1"/>
    <col min="5" max="5" width="15.5703125" customWidth="1"/>
  </cols>
  <sheetData>
    <row r="1" spans="1:5" ht="20.25" x14ac:dyDescent="0.3">
      <c r="A1" s="2" t="s">
        <v>105</v>
      </c>
      <c r="B1" s="2"/>
      <c r="C1" s="2"/>
      <c r="D1" s="2"/>
      <c r="E1" s="2"/>
    </row>
    <row r="2" spans="1:5" x14ac:dyDescent="0.25">
      <c r="A2" s="25" t="s">
        <v>106</v>
      </c>
      <c r="B2" s="25" t="s">
        <v>107</v>
      </c>
      <c r="C2" s="25" t="s">
        <v>108</v>
      </c>
      <c r="D2" s="25" t="s">
        <v>109</v>
      </c>
      <c r="E2" s="25" t="s">
        <v>110</v>
      </c>
    </row>
    <row r="3" spans="1:5" x14ac:dyDescent="0.25">
      <c r="A3" s="7" t="s">
        <v>111</v>
      </c>
      <c r="B3" s="14">
        <v>430000</v>
      </c>
      <c r="C3" s="14">
        <v>425000</v>
      </c>
      <c r="D3" s="14">
        <f t="shared" ref="D3:D9" si="0">B3-C3</f>
        <v>5000</v>
      </c>
      <c r="E3" s="18">
        <f t="shared" ref="E3:E10" si="1">IF(B3=0,0,C3/B3)</f>
        <v>0.98837209302325579</v>
      </c>
    </row>
    <row r="4" spans="1:5" x14ac:dyDescent="0.25">
      <c r="A4" s="7" t="s">
        <v>97</v>
      </c>
      <c r="B4" s="14">
        <v>200000</v>
      </c>
      <c r="C4" s="14">
        <v>180000</v>
      </c>
      <c r="D4" s="14">
        <f t="shared" si="0"/>
        <v>20000</v>
      </c>
      <c r="E4" s="18">
        <f t="shared" si="1"/>
        <v>0.9</v>
      </c>
    </row>
    <row r="5" spans="1:5" x14ac:dyDescent="0.25">
      <c r="A5" s="7" t="s">
        <v>98</v>
      </c>
      <c r="B5" s="14">
        <v>180000</v>
      </c>
      <c r="C5" s="14">
        <v>165000</v>
      </c>
      <c r="D5" s="14">
        <f t="shared" si="0"/>
        <v>15000</v>
      </c>
      <c r="E5" s="18">
        <f t="shared" si="1"/>
        <v>0.91666666666666663</v>
      </c>
    </row>
    <row r="6" spans="1:5" x14ac:dyDescent="0.25">
      <c r="A6" s="7" t="s">
        <v>99</v>
      </c>
      <c r="B6" s="14">
        <v>180000</v>
      </c>
      <c r="C6" s="14">
        <v>155000</v>
      </c>
      <c r="D6" s="14">
        <f t="shared" si="0"/>
        <v>25000</v>
      </c>
      <c r="E6" s="18">
        <f t="shared" si="1"/>
        <v>0.86111111111111116</v>
      </c>
    </row>
    <row r="7" spans="1:5" x14ac:dyDescent="0.25">
      <c r="A7" s="7" t="s">
        <v>100</v>
      </c>
      <c r="B7" s="14">
        <v>90000</v>
      </c>
      <c r="C7" s="14">
        <v>45000</v>
      </c>
      <c r="D7" s="14">
        <f t="shared" si="0"/>
        <v>45000</v>
      </c>
      <c r="E7" s="18">
        <f t="shared" si="1"/>
        <v>0.5</v>
      </c>
    </row>
    <row r="8" spans="1:5" x14ac:dyDescent="0.25">
      <c r="A8" s="7" t="s">
        <v>61</v>
      </c>
      <c r="B8" s="14">
        <v>200000</v>
      </c>
      <c r="C8" s="14">
        <v>85000</v>
      </c>
      <c r="D8" s="14">
        <f t="shared" si="0"/>
        <v>115000</v>
      </c>
      <c r="E8" s="18">
        <f t="shared" si="1"/>
        <v>0.42499999999999999</v>
      </c>
    </row>
    <row r="9" spans="1:5" x14ac:dyDescent="0.25">
      <c r="A9" s="7" t="s">
        <v>112</v>
      </c>
      <c r="B9" s="14">
        <v>220000</v>
      </c>
      <c r="C9" s="14">
        <v>0</v>
      </c>
      <c r="D9" s="14">
        <f t="shared" si="0"/>
        <v>220000</v>
      </c>
      <c r="E9" s="18">
        <f t="shared" si="1"/>
        <v>0</v>
      </c>
    </row>
    <row r="10" spans="1:5" x14ac:dyDescent="0.25">
      <c r="A10" s="4" t="s">
        <v>113</v>
      </c>
      <c r="B10" s="26">
        <f>SUM(B3:B9)</f>
        <v>1500000</v>
      </c>
      <c r="C10" s="26">
        <f>SUM(C3:C9)</f>
        <v>1055000</v>
      </c>
      <c r="D10" s="26">
        <f>SUM(D3:D9)</f>
        <v>445000</v>
      </c>
      <c r="E10" s="27">
        <f t="shared" si="1"/>
        <v>0.70333333333333337</v>
      </c>
    </row>
    <row r="13" spans="1:5" ht="15.75" x14ac:dyDescent="0.25">
      <c r="A13" s="3" t="s">
        <v>114</v>
      </c>
    </row>
    <row r="14" spans="1:5" x14ac:dyDescent="0.25">
      <c r="A14" s="4" t="s">
        <v>115</v>
      </c>
      <c r="B14" s="28">
        <f>B10</f>
        <v>1500000</v>
      </c>
    </row>
    <row r="15" spans="1:5" x14ac:dyDescent="0.25">
      <c r="A15" s="4" t="s">
        <v>116</v>
      </c>
      <c r="B15" s="28">
        <f>C10</f>
        <v>1055000</v>
      </c>
    </row>
    <row r="16" spans="1:5" x14ac:dyDescent="0.25">
      <c r="A16" s="4" t="s">
        <v>117</v>
      </c>
      <c r="B16" s="28">
        <f>B10-C10</f>
        <v>445000</v>
      </c>
    </row>
    <row r="17" spans="1:2" x14ac:dyDescent="0.25">
      <c r="A17" s="4" t="s">
        <v>118</v>
      </c>
      <c r="B17" s="29">
        <f>C10/B10</f>
        <v>0.70333333333333337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tabSelected="1" zoomScaleNormal="100" workbookViewId="0">
      <selection sqref="A1:G1"/>
    </sheetView>
  </sheetViews>
  <sheetFormatPr defaultColWidth="8.7109375" defaultRowHeight="15" x14ac:dyDescent="0.25"/>
  <cols>
    <col min="1" max="1" width="5" customWidth="1"/>
    <col min="2" max="3" width="22" customWidth="1"/>
    <col min="4" max="4" width="13.5703125" customWidth="1"/>
    <col min="5" max="5" width="16" customWidth="1"/>
    <col min="6" max="6" width="14" customWidth="1"/>
    <col min="7" max="7" width="12" customWidth="1"/>
  </cols>
  <sheetData>
    <row r="1" spans="1:7" ht="20.25" x14ac:dyDescent="0.3">
      <c r="A1" s="2" t="s">
        <v>119</v>
      </c>
      <c r="B1" s="2"/>
      <c r="C1" s="2"/>
      <c r="D1" s="2"/>
      <c r="E1" s="2"/>
      <c r="F1" s="2"/>
      <c r="G1" s="2"/>
    </row>
    <row r="2" spans="1:7" x14ac:dyDescent="0.25">
      <c r="A2" s="25" t="s">
        <v>120</v>
      </c>
      <c r="B2" s="25" t="s">
        <v>121</v>
      </c>
      <c r="C2" s="25" t="s">
        <v>122</v>
      </c>
      <c r="D2" s="25" t="s">
        <v>123</v>
      </c>
      <c r="E2" s="25" t="s">
        <v>124</v>
      </c>
      <c r="F2" s="25" t="s">
        <v>125</v>
      </c>
      <c r="G2" s="25" t="s">
        <v>126</v>
      </c>
    </row>
    <row r="3" spans="1:7" x14ac:dyDescent="0.25">
      <c r="A3" s="7">
        <v>1</v>
      </c>
      <c r="B3" s="7" t="s">
        <v>127</v>
      </c>
      <c r="C3" s="7" t="s">
        <v>128</v>
      </c>
      <c r="D3" s="14">
        <v>2500</v>
      </c>
      <c r="E3" s="7">
        <v>320</v>
      </c>
      <c r="F3" s="14">
        <f t="shared" ref="F3:F10" si="0">D3*E3</f>
        <v>800000</v>
      </c>
      <c r="G3" s="18">
        <f t="shared" ref="G3:G10" si="1">E3/500</f>
        <v>0.64</v>
      </c>
    </row>
    <row r="4" spans="1:7" x14ac:dyDescent="0.25">
      <c r="A4" s="7">
        <v>2</v>
      </c>
      <c r="B4" s="7" t="s">
        <v>129</v>
      </c>
      <c r="C4" s="7" t="s">
        <v>130</v>
      </c>
      <c r="D4" s="14">
        <v>3000</v>
      </c>
      <c r="E4" s="7">
        <v>200</v>
      </c>
      <c r="F4" s="14">
        <f t="shared" si="0"/>
        <v>600000</v>
      </c>
      <c r="G4" s="18">
        <f t="shared" si="1"/>
        <v>0.4</v>
      </c>
    </row>
    <row r="5" spans="1:7" x14ac:dyDescent="0.25">
      <c r="A5" s="7">
        <v>3</v>
      </c>
      <c r="B5" s="7" t="s">
        <v>131</v>
      </c>
      <c r="C5" s="7" t="s">
        <v>132</v>
      </c>
      <c r="D5" s="14">
        <v>2200</v>
      </c>
      <c r="E5" s="7">
        <v>180</v>
      </c>
      <c r="F5" s="14">
        <f t="shared" si="0"/>
        <v>396000</v>
      </c>
      <c r="G5" s="18">
        <f t="shared" si="1"/>
        <v>0.36</v>
      </c>
    </row>
    <row r="6" spans="1:7" x14ac:dyDescent="0.25">
      <c r="A6" s="7">
        <v>4</v>
      </c>
      <c r="B6" s="7" t="s">
        <v>133</v>
      </c>
      <c r="C6" s="7" t="s">
        <v>134</v>
      </c>
      <c r="D6" s="14">
        <v>2800</v>
      </c>
      <c r="E6" s="7">
        <v>400</v>
      </c>
      <c r="F6" s="14">
        <f t="shared" si="0"/>
        <v>1120000</v>
      </c>
      <c r="G6" s="18">
        <f t="shared" si="1"/>
        <v>0.8</v>
      </c>
    </row>
    <row r="7" spans="1:7" x14ac:dyDescent="0.25">
      <c r="A7" s="7">
        <v>5</v>
      </c>
      <c r="B7" s="7" t="s">
        <v>135</v>
      </c>
      <c r="C7" s="7" t="s">
        <v>136</v>
      </c>
      <c r="D7" s="14">
        <v>2600</v>
      </c>
      <c r="E7" s="7">
        <v>350</v>
      </c>
      <c r="F7" s="14">
        <f t="shared" si="0"/>
        <v>910000</v>
      </c>
      <c r="G7" s="18">
        <f t="shared" si="1"/>
        <v>0.7</v>
      </c>
    </row>
    <row r="8" spans="1:7" x14ac:dyDescent="0.25">
      <c r="A8" s="7">
        <v>6</v>
      </c>
      <c r="B8" s="7" t="s">
        <v>137</v>
      </c>
      <c r="C8" s="7" t="s">
        <v>138</v>
      </c>
      <c r="D8" s="14">
        <v>2600</v>
      </c>
      <c r="E8" s="7">
        <v>350</v>
      </c>
      <c r="F8" s="14">
        <f t="shared" si="0"/>
        <v>910000</v>
      </c>
      <c r="G8" s="18">
        <f t="shared" si="1"/>
        <v>0.7</v>
      </c>
    </row>
    <row r="9" spans="1:7" x14ac:dyDescent="0.25">
      <c r="A9" s="7">
        <v>7</v>
      </c>
      <c r="B9" s="7" t="s">
        <v>139</v>
      </c>
      <c r="C9" s="7" t="s">
        <v>140</v>
      </c>
      <c r="D9" s="14">
        <v>2000</v>
      </c>
      <c r="E9" s="7">
        <v>120</v>
      </c>
      <c r="F9" s="14">
        <f t="shared" si="0"/>
        <v>240000</v>
      </c>
      <c r="G9" s="18">
        <f t="shared" si="1"/>
        <v>0.24</v>
      </c>
    </row>
    <row r="10" spans="1:7" x14ac:dyDescent="0.25">
      <c r="A10" s="7">
        <v>8</v>
      </c>
      <c r="B10" s="7" t="s">
        <v>67</v>
      </c>
      <c r="C10" s="7" t="s">
        <v>62</v>
      </c>
      <c r="D10" s="14">
        <v>1800</v>
      </c>
      <c r="E10" s="7">
        <v>250</v>
      </c>
      <c r="F10" s="14">
        <f t="shared" si="0"/>
        <v>450000</v>
      </c>
      <c r="G10" s="18">
        <f t="shared" si="1"/>
        <v>0.5</v>
      </c>
    </row>
    <row r="11" spans="1:7" x14ac:dyDescent="0.25">
      <c r="D11" s="4" t="s">
        <v>81</v>
      </c>
      <c r="E11" s="4">
        <f>SUM(E3:E10)</f>
        <v>2170</v>
      </c>
      <c r="F11" s="15">
        <f>SUM(F3:F10)</f>
        <v>5426000</v>
      </c>
    </row>
  </sheetData>
  <mergeCells count="1">
    <mergeCell ref="A1:G1"/>
  </mergeCells>
  <conditionalFormatting sqref="G3:G10">
    <cfRule type="dataBar" priority="2">
      <dataBar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{6EF61C27-8458-4017-B98B-AD507E3070E1}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F61C27-8458-4017-B98B-AD507E3070E1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70AD47"/>
            </x14:dataBar>
          </x14:cfRule>
          <xm:sqref>G3:G10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План проекта</vt:lpstr>
      <vt:lpstr>Диаграмма Ганта</vt:lpstr>
      <vt:lpstr>Бюджет</vt:lpstr>
      <vt:lpstr>Команда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Пользователь</cp:lastModifiedBy>
  <cp:revision>1</cp:revision>
  <dcterms:created xsi:type="dcterms:W3CDTF">2026-02-01T10:21:10Z</dcterms:created>
  <dcterms:modified xsi:type="dcterms:W3CDTF">2026-02-01T10:24:24Z</dcterms:modified>
  <dc:language>en-US</dc:language>
</cp:coreProperties>
</file>